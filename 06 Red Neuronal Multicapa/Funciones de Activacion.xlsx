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Universidad/09 Semestre Otoño/Redes Neuronales/06 Red Neuronal Multicapa/"/>
    </mc:Choice>
  </mc:AlternateContent>
  <xr:revisionPtr revIDLastSave="9" documentId="8_{EDF726B5-BECA-4F1E-A0D9-13760A8779EE}" xr6:coauthVersionLast="47" xr6:coauthVersionMax="47" xr10:uidLastSave="{28B4A612-53E4-4336-9D90-75D14888A509}"/>
  <bookViews>
    <workbookView xWindow="-24120" yWindow="1530" windowWidth="24240" windowHeight="13740" xr2:uid="{9CC2513B-8CB4-4AD4-B0B8-5893B74D7C3D}"/>
  </bookViews>
  <sheets>
    <sheet name="Pesos del video" sheetId="2" r:id="rId1"/>
    <sheet name="Pesos que yo encontr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2" l="1"/>
  <c r="P55" i="2"/>
  <c r="P56" i="2"/>
  <c r="P57" i="2"/>
  <c r="P58" i="2"/>
  <c r="P59" i="2"/>
  <c r="P60" i="2"/>
  <c r="P61" i="2"/>
  <c r="P53" i="2"/>
  <c r="O54" i="2"/>
  <c r="O55" i="2"/>
  <c r="O56" i="2"/>
  <c r="O57" i="2"/>
  <c r="O58" i="2"/>
  <c r="O59" i="2"/>
  <c r="O60" i="2"/>
  <c r="O61" i="2"/>
  <c r="O53" i="2"/>
  <c r="K54" i="2"/>
  <c r="K55" i="2"/>
  <c r="K56" i="2"/>
  <c r="K57" i="2"/>
  <c r="K58" i="2"/>
  <c r="K59" i="2"/>
  <c r="K60" i="2"/>
  <c r="K61" i="2"/>
  <c r="K53" i="2"/>
  <c r="L54" i="2"/>
  <c r="M54" i="2"/>
  <c r="L55" i="2"/>
  <c r="M55" i="2"/>
  <c r="L56" i="2"/>
  <c r="M56" i="2"/>
  <c r="L57" i="2"/>
  <c r="M57" i="2"/>
  <c r="L58" i="2"/>
  <c r="M58" i="2"/>
  <c r="L59" i="2"/>
  <c r="M59" i="2"/>
  <c r="L60" i="2"/>
  <c r="M60" i="2"/>
  <c r="L61" i="2"/>
  <c r="M61" i="2"/>
  <c r="M53" i="2"/>
  <c r="L53" i="2"/>
  <c r="B74" i="2"/>
  <c r="B73" i="2"/>
  <c r="B72" i="2"/>
  <c r="B71" i="2"/>
  <c r="B70" i="2"/>
  <c r="B69" i="2"/>
  <c r="B68" i="2"/>
  <c r="B67" i="2"/>
  <c r="B66" i="2"/>
  <c r="B61" i="2"/>
  <c r="B60" i="2"/>
  <c r="B59" i="2"/>
  <c r="B58" i="2"/>
  <c r="B57" i="2"/>
  <c r="B56" i="2"/>
  <c r="B55" i="2"/>
  <c r="B54" i="2"/>
  <c r="B53" i="2"/>
  <c r="B48" i="2"/>
  <c r="B47" i="2"/>
  <c r="B46" i="2"/>
  <c r="B45" i="2"/>
  <c r="B44" i="2"/>
  <c r="B43" i="2"/>
  <c r="B42" i="2"/>
  <c r="B41" i="2"/>
  <c r="B40" i="2"/>
  <c r="B35" i="2"/>
  <c r="B34" i="2"/>
  <c r="B33" i="2"/>
  <c r="B32" i="2"/>
  <c r="B31" i="2"/>
  <c r="B30" i="2"/>
  <c r="B29" i="2"/>
  <c r="B28" i="2"/>
  <c r="B27" i="2"/>
  <c r="B22" i="2"/>
  <c r="B21" i="2"/>
  <c r="B20" i="2"/>
  <c r="B19" i="2"/>
  <c r="B18" i="2"/>
  <c r="B17" i="2"/>
  <c r="B16" i="2"/>
  <c r="B15" i="2"/>
  <c r="B14" i="2"/>
  <c r="G11" i="2"/>
  <c r="H11" i="2" s="1"/>
  <c r="D11" i="2"/>
  <c r="E11" i="2" s="1"/>
  <c r="G10" i="2"/>
  <c r="H10" i="2" s="1"/>
  <c r="D10" i="2"/>
  <c r="E10" i="2" s="1"/>
  <c r="G9" i="2"/>
  <c r="H9" i="2" s="1"/>
  <c r="D20" i="2" s="1"/>
  <c r="D9" i="2"/>
  <c r="E9" i="2" s="1"/>
  <c r="G8" i="2"/>
  <c r="H8" i="2" s="1"/>
  <c r="D8" i="2"/>
  <c r="E8" i="2" s="1"/>
  <c r="G7" i="2"/>
  <c r="H7" i="2" s="1"/>
  <c r="D7" i="2"/>
  <c r="E7" i="2" s="1"/>
  <c r="G6" i="2"/>
  <c r="H6" i="2" s="1"/>
  <c r="D6" i="2"/>
  <c r="E6" i="2" s="1"/>
  <c r="G5" i="2"/>
  <c r="H5" i="2" s="1"/>
  <c r="D68" i="2" s="1"/>
  <c r="D5" i="2"/>
  <c r="E5" i="2" s="1"/>
  <c r="G4" i="2"/>
  <c r="H4" i="2" s="1"/>
  <c r="D4" i="2"/>
  <c r="E4" i="2" s="1"/>
  <c r="G3" i="2"/>
  <c r="H3" i="2" s="1"/>
  <c r="D3" i="2"/>
  <c r="E3" i="2" s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D66" i="1"/>
  <c r="C66" i="1"/>
  <c r="B66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D53" i="1"/>
  <c r="C53" i="1"/>
  <c r="B54" i="1"/>
  <c r="B55" i="1"/>
  <c r="B56" i="1"/>
  <c r="B57" i="1"/>
  <c r="B58" i="1"/>
  <c r="B59" i="1"/>
  <c r="B60" i="1"/>
  <c r="B61" i="1"/>
  <c r="B53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0" i="1"/>
  <c r="D40" i="1"/>
  <c r="B41" i="1"/>
  <c r="B42" i="1"/>
  <c r="B43" i="1"/>
  <c r="B44" i="1"/>
  <c r="B45" i="1"/>
  <c r="B46" i="1"/>
  <c r="B47" i="1"/>
  <c r="B48" i="1"/>
  <c r="B40" i="1"/>
  <c r="B28" i="1"/>
  <c r="B29" i="1"/>
  <c r="B30" i="1"/>
  <c r="B31" i="1"/>
  <c r="B32" i="1"/>
  <c r="B33" i="1"/>
  <c r="B34" i="1"/>
  <c r="B35" i="1"/>
  <c r="B27" i="1"/>
  <c r="D22" i="1"/>
  <c r="D19" i="1"/>
  <c r="B15" i="1"/>
  <c r="B16" i="1"/>
  <c r="B17" i="1"/>
  <c r="B18" i="1"/>
  <c r="B19" i="1"/>
  <c r="B20" i="1"/>
  <c r="B21" i="1"/>
  <c r="B22" i="1"/>
  <c r="B14" i="1"/>
  <c r="G4" i="1"/>
  <c r="H4" i="1" s="1"/>
  <c r="D28" i="1" s="1"/>
  <c r="G5" i="1"/>
  <c r="H5" i="1" s="1"/>
  <c r="D16" i="1" s="1"/>
  <c r="G6" i="1"/>
  <c r="H6" i="1"/>
  <c r="D30" i="1" s="1"/>
  <c r="G7" i="1"/>
  <c r="H7" i="1"/>
  <c r="D31" i="1" s="1"/>
  <c r="G8" i="1"/>
  <c r="H8" i="1"/>
  <c r="D32" i="1" s="1"/>
  <c r="G9" i="1"/>
  <c r="H9" i="1"/>
  <c r="D33" i="1" s="1"/>
  <c r="G10" i="1"/>
  <c r="H10" i="1" s="1"/>
  <c r="G11" i="1"/>
  <c r="H11" i="1"/>
  <c r="D35" i="1" s="1"/>
  <c r="G3" i="1"/>
  <c r="H3" i="1" s="1"/>
  <c r="D14" i="1" s="1"/>
  <c r="D4" i="1"/>
  <c r="E4" i="1"/>
  <c r="C15" i="1" s="1"/>
  <c r="D5" i="1"/>
  <c r="E5" i="1"/>
  <c r="C29" i="1" s="1"/>
  <c r="D6" i="1"/>
  <c r="E6" i="1"/>
  <c r="C30" i="1" s="1"/>
  <c r="D7" i="1"/>
  <c r="E7" i="1"/>
  <c r="C31" i="1" s="1"/>
  <c r="D8" i="1"/>
  <c r="E8" i="1"/>
  <c r="C32" i="1" s="1"/>
  <c r="D9" i="1"/>
  <c r="E9" i="1"/>
  <c r="C20" i="1" s="1"/>
  <c r="D10" i="1"/>
  <c r="E10" i="1"/>
  <c r="C34" i="1" s="1"/>
  <c r="D11" i="1"/>
  <c r="E11" i="1"/>
  <c r="C35" i="1" s="1"/>
  <c r="D3" i="1"/>
  <c r="E3" i="1"/>
  <c r="C27" i="1" s="1"/>
  <c r="C35" i="2" l="1"/>
  <c r="C48" i="2"/>
  <c r="C74" i="2"/>
  <c r="C61" i="2"/>
  <c r="C22" i="2"/>
  <c r="D54" i="2"/>
  <c r="D67" i="2"/>
  <c r="D15" i="2"/>
  <c r="D28" i="2"/>
  <c r="D41" i="2"/>
  <c r="C21" i="2"/>
  <c r="C73" i="2"/>
  <c r="C34" i="2"/>
  <c r="C60" i="2"/>
  <c r="C47" i="2"/>
  <c r="D53" i="2"/>
  <c r="D14" i="2"/>
  <c r="D40" i="2"/>
  <c r="D66" i="2"/>
  <c r="D27" i="2"/>
  <c r="D34" i="2"/>
  <c r="D73" i="2"/>
  <c r="D60" i="2"/>
  <c r="D21" i="2"/>
  <c r="D47" i="2"/>
  <c r="C28" i="2"/>
  <c r="C41" i="2"/>
  <c r="C54" i="2"/>
  <c r="C15" i="2"/>
  <c r="C67" i="2"/>
  <c r="D74" i="2"/>
  <c r="D35" i="2"/>
  <c r="D48" i="2"/>
  <c r="D22" i="2"/>
  <c r="D61" i="2"/>
  <c r="C68" i="2"/>
  <c r="C55" i="2"/>
  <c r="C29" i="2"/>
  <c r="C42" i="2"/>
  <c r="C16" i="2"/>
  <c r="C69" i="2"/>
  <c r="C17" i="2"/>
  <c r="C30" i="2"/>
  <c r="C43" i="2"/>
  <c r="C56" i="2"/>
  <c r="C45" i="2"/>
  <c r="C58" i="2"/>
  <c r="C19" i="2"/>
  <c r="C71" i="2"/>
  <c r="C32" i="2"/>
  <c r="C14" i="2"/>
  <c r="C53" i="2"/>
  <c r="C40" i="2"/>
  <c r="C66" i="2"/>
  <c r="C27" i="2"/>
  <c r="D30" i="2"/>
  <c r="D17" i="2"/>
  <c r="D43" i="2"/>
  <c r="D69" i="2"/>
  <c r="D56" i="2"/>
  <c r="C31" i="2"/>
  <c r="C44" i="2"/>
  <c r="C57" i="2"/>
  <c r="C70" i="2"/>
  <c r="C18" i="2"/>
  <c r="D44" i="2"/>
  <c r="D57" i="2"/>
  <c r="D18" i="2"/>
  <c r="D31" i="2"/>
  <c r="D70" i="2"/>
  <c r="D58" i="2"/>
  <c r="D19" i="2"/>
  <c r="D71" i="2"/>
  <c r="D32" i="2"/>
  <c r="D45" i="2"/>
  <c r="C33" i="2"/>
  <c r="C59" i="2"/>
  <c r="C20" i="2"/>
  <c r="C72" i="2"/>
  <c r="C46" i="2"/>
  <c r="D16" i="2"/>
  <c r="D46" i="2"/>
  <c r="D55" i="2"/>
  <c r="D33" i="2"/>
  <c r="D42" i="2"/>
  <c r="D59" i="2"/>
  <c r="D72" i="2"/>
  <c r="D29" i="2"/>
  <c r="C14" i="1"/>
  <c r="D27" i="1"/>
  <c r="C22" i="1"/>
  <c r="C21" i="1"/>
  <c r="D17" i="1"/>
  <c r="D18" i="1"/>
  <c r="C28" i="1"/>
  <c r="D21" i="1"/>
  <c r="D34" i="1"/>
  <c r="D20" i="1"/>
  <c r="C33" i="1"/>
  <c r="C19" i="1"/>
  <c r="C18" i="1"/>
  <c r="C17" i="1"/>
  <c r="C16" i="1"/>
  <c r="D29" i="1"/>
  <c r="D15" i="1"/>
</calcChain>
</file>

<file path=xl/sharedStrings.xml><?xml version="1.0" encoding="utf-8"?>
<sst xmlns="http://schemas.openxmlformats.org/spreadsheetml/2006/main" count="17" uniqueCount="11">
  <si>
    <t>Encontrando el valor Z</t>
  </si>
  <si>
    <t>McCulloch-Pitts</t>
  </si>
  <si>
    <t>Lineal</t>
  </si>
  <si>
    <t>ReLU</t>
  </si>
  <si>
    <t>Softplus</t>
  </si>
  <si>
    <t>Sigmoid</t>
  </si>
  <si>
    <t>mmm, esto es mas una red de regresion, yo estaba acostumbrado a hacerlas de clasificacion</t>
  </si>
  <si>
    <t xml:space="preserve">importante! </t>
  </si>
  <si>
    <t>tambien tiene otros numeritos que no son 0.1, 0.2, …</t>
  </si>
  <si>
    <t>luego de hacer regresion hacemos clasificacion? Se puede? Como una logistica LMAO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</si>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</sst>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  <xf numFmtId="164" fontId="0" fillId="0" borderId="0" xfId="0" applyNumberFormat="1" applyFill="1" applyBorder="1"/>
    <xf numFmtId="0" fontId="0" fillId="2" borderId="0" xfId="0" applyFill="1" applyBorder="1"/>
    <xf numFmtId="0" fontId="0" fillId="3" borderId="0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8" xfId="0" applyFill="1" applyBorder="1"/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DA5-4FD9-B63F-E0C9E9731EFE}"/>
              </c:ext>
            </c:extLst>
          </c:dPt>
          <c:xVal>
            <c:numRef>
              <c:f>'Pesos del video'!$C$14:$C$22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'Pesos del video'!$D$14:$D$22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A5-4FD9-B63F-E0C9E9731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805679"/>
        <c:axId val="876812399"/>
      </c:scatterChart>
      <c:valAx>
        <c:axId val="87680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12399"/>
        <c:crosses val="autoZero"/>
        <c:crossBetween val="midCat"/>
      </c:valAx>
      <c:valAx>
        <c:axId val="876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0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E65-4958-9531-128E035749B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E65-4958-9531-128E035749B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E65-4958-9531-128E035749B9}"/>
              </c:ext>
            </c:extLst>
          </c:dPt>
          <c:xVal>
            <c:numRef>
              <c:f>'Pesos del video'!$C$27:$C$35</c:f>
              <c:numCache>
                <c:formatCode>General</c:formatCode>
                <c:ptCount val="9"/>
                <c:pt idx="0">
                  <c:v>2.14</c:v>
                </c:pt>
                <c:pt idx="1">
                  <c:v>-1.2999999999999998</c:v>
                </c:pt>
                <c:pt idx="2">
                  <c:v>-4.74</c:v>
                </c:pt>
                <c:pt idx="3">
                  <c:v>-11.62</c:v>
                </c:pt>
                <c:pt idx="4">
                  <c:v>-15.059999999999999</c:v>
                </c:pt>
                <c:pt idx="5">
                  <c:v>-18.499999999999996</c:v>
                </c:pt>
                <c:pt idx="6">
                  <c:v>-25.38</c:v>
                </c:pt>
                <c:pt idx="7">
                  <c:v>-28.82</c:v>
                </c:pt>
                <c:pt idx="8">
                  <c:v>-32.26</c:v>
                </c:pt>
              </c:numCache>
            </c:numRef>
          </c:xVal>
          <c:yVal>
            <c:numRef>
              <c:f>'Pesos del video'!$D$27:$D$35</c:f>
              <c:numCache>
                <c:formatCode>General</c:formatCode>
                <c:ptCount val="9"/>
                <c:pt idx="0">
                  <c:v>1.29</c:v>
                </c:pt>
                <c:pt idx="1">
                  <c:v>1.038</c:v>
                </c:pt>
                <c:pt idx="2">
                  <c:v>0.78600000000000003</c:v>
                </c:pt>
                <c:pt idx="3">
                  <c:v>0.28200000000000003</c:v>
                </c:pt>
                <c:pt idx="4">
                  <c:v>3.0000000000000027E-2</c:v>
                </c:pt>
                <c:pt idx="5">
                  <c:v>-0.22199999999999998</c:v>
                </c:pt>
                <c:pt idx="6">
                  <c:v>-0.72599999999999998</c:v>
                </c:pt>
                <c:pt idx="7">
                  <c:v>-0.9780000000000002</c:v>
                </c:pt>
                <c:pt idx="8">
                  <c:v>-1.23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65-4958-9531-128E0357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777407"/>
        <c:axId val="875773087"/>
      </c:scatterChart>
      <c:valAx>
        <c:axId val="87577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773087"/>
        <c:crosses val="autoZero"/>
        <c:crossBetween val="midCat"/>
      </c:valAx>
      <c:valAx>
        <c:axId val="87577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77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E44-4A7C-809B-67335AFC4F7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E44-4A7C-809B-67335AFC4F77}"/>
              </c:ext>
            </c:extLst>
          </c:dPt>
          <c:xVal>
            <c:numRef>
              <c:f>'Pesos del video'!$C$40:$C$48</c:f>
              <c:numCache>
                <c:formatCode>General</c:formatCode>
                <c:ptCount val="9"/>
                <c:pt idx="0">
                  <c:v>2.14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'Pesos del video'!$D$40:$D$48</c:f>
              <c:numCache>
                <c:formatCode>General</c:formatCode>
                <c:ptCount val="9"/>
                <c:pt idx="0">
                  <c:v>1.29</c:v>
                </c:pt>
                <c:pt idx="1">
                  <c:v>1.038</c:v>
                </c:pt>
                <c:pt idx="2">
                  <c:v>0.78600000000000003</c:v>
                </c:pt>
                <c:pt idx="3">
                  <c:v>0.28200000000000003</c:v>
                </c:pt>
                <c:pt idx="4">
                  <c:v>3.0000000000000027E-2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44-4A7C-809B-67335AFC4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862319"/>
        <c:axId val="876862799"/>
      </c:scatterChart>
      <c:valAx>
        <c:axId val="8768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62799"/>
        <c:crosses val="autoZero"/>
        <c:crossBetween val="midCat"/>
      </c:valAx>
      <c:valAx>
        <c:axId val="87686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6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618-4030-AA3F-C6CB2DB76F7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618-4030-AA3F-C6CB2DB76F7A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618-4030-AA3F-C6CB2DB76F7A}"/>
              </c:ext>
            </c:extLst>
          </c:dPt>
          <c:xVal>
            <c:numRef>
              <c:f>'Pesos del video'!$C$53:$C$61</c:f>
              <c:numCache>
                <c:formatCode>General</c:formatCode>
                <c:ptCount val="9"/>
                <c:pt idx="0">
                  <c:v>2.2512325998949305</c:v>
                </c:pt>
                <c:pt idx="1">
                  <c:v>0.24100845383299216</c:v>
                </c:pt>
                <c:pt idx="2">
                  <c:v>8.7006852082939356E-3</c:v>
                </c:pt>
                <c:pt idx="3">
                  <c:v>8.9845466774137027E-6</c:v>
                </c:pt>
                <c:pt idx="4">
                  <c:v>2.8808791465998513E-7</c:v>
                </c:pt>
                <c:pt idx="5">
                  <c:v>9.2374496513898062E-9</c:v>
                </c:pt>
                <c:pt idx="6">
                  <c:v>9.4975138864132634E-12</c:v>
                </c:pt>
                <c:pt idx="7">
                  <c:v>3.0442315335217158E-13</c:v>
                </c:pt>
                <c:pt idx="8">
                  <c:v>9.7699626167013302E-15</c:v>
                </c:pt>
              </c:numCache>
            </c:numRef>
          </c:xVal>
          <c:yVal>
            <c:numRef>
              <c:f>'Pesos del video'!$D$53:$D$61</c:f>
              <c:numCache>
                <c:formatCode>General</c:formatCode>
                <c:ptCount val="9"/>
                <c:pt idx="0">
                  <c:v>1.5331585349551082</c:v>
                </c:pt>
                <c:pt idx="1">
                  <c:v>1.3411830334097958</c:v>
                </c:pt>
                <c:pt idx="2">
                  <c:v>1.1614620234342843</c:v>
                </c:pt>
                <c:pt idx="3">
                  <c:v>0.84405491628932627</c:v>
                </c:pt>
                <c:pt idx="4">
                  <c:v>0.70825967634144837</c:v>
                </c:pt>
                <c:pt idx="5">
                  <c:v>0.58829507138311665</c:v>
                </c:pt>
                <c:pt idx="6">
                  <c:v>0.39463365006487156</c:v>
                </c:pt>
                <c:pt idx="7">
                  <c:v>0.31922613976831005</c:v>
                </c:pt>
                <c:pt idx="8">
                  <c:v>0.25641783303708743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18-4030-AA3F-C6CB2DB7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529023"/>
        <c:axId val="511528543"/>
      </c:scatterChart>
      <c:valAx>
        <c:axId val="51152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28543"/>
        <c:crosses val="autoZero"/>
        <c:crossBetween val="midCat"/>
      </c:valAx>
      <c:valAx>
        <c:axId val="51152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2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'Pesos del video'!$C$66:$C$74</c:f>
              <c:numCache>
                <c:formatCode>General</c:formatCode>
                <c:ptCount val="9"/>
                <c:pt idx="0">
                  <c:v>0.89473061047749025</c:v>
                </c:pt>
                <c:pt idx="1">
                  <c:v>0.21416501695744142</c:v>
                </c:pt>
                <c:pt idx="2">
                  <c:v>8.6629437848131617E-3</c:v>
                </c:pt>
                <c:pt idx="3">
                  <c:v>8.9845063164042411E-6</c:v>
                </c:pt>
                <c:pt idx="4">
                  <c:v>2.8808787319509513E-7</c:v>
                </c:pt>
                <c:pt idx="5">
                  <c:v>9.2374495766401528E-9</c:v>
                </c:pt>
                <c:pt idx="6">
                  <c:v>9.4974288624661951E-12</c:v>
                </c:pt>
                <c:pt idx="7">
                  <c:v>3.0453206790152034E-13</c:v>
                </c:pt>
                <c:pt idx="8">
                  <c:v>9.7647249295078791E-15</c:v>
                </c:pt>
              </c:numCache>
            </c:numRef>
          </c:xVal>
          <c:yVal>
            <c:numRef>
              <c:f>'Pesos del video'!$D$66:$D$74</c:f>
              <c:numCache>
                <c:formatCode>General</c:formatCode>
                <c:ptCount val="9"/>
                <c:pt idx="0">
                  <c:v>0.78414718917748549</c:v>
                </c:pt>
                <c:pt idx="1">
                  <c:v>0.73846392043063569</c:v>
                </c:pt>
                <c:pt idx="2">
                  <c:v>0.68697180838307004</c:v>
                </c:pt>
                <c:pt idx="3">
                  <c:v>0.57003648223005543</c:v>
                </c:pt>
                <c:pt idx="4">
                  <c:v>0.50749943755062032</c:v>
                </c:pt>
                <c:pt idx="5">
                  <c:v>0.44472682070240099</c:v>
                </c:pt>
                <c:pt idx="6">
                  <c:v>0.32607311289886975</c:v>
                </c:pt>
                <c:pt idx="7">
                  <c:v>0.27328880757745783</c:v>
                </c:pt>
                <c:pt idx="8">
                  <c:v>0.2261814257305462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A-4E04-9C9D-C5077E903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595055"/>
        <c:axId val="228592175"/>
      </c:scatterChart>
      <c:valAx>
        <c:axId val="22859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92175"/>
        <c:crosses val="autoZero"/>
        <c:crossBetween val="midCat"/>
      </c:valAx>
      <c:valAx>
        <c:axId val="22859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9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'Pesos del video'!$O$53:$O$61</c:f>
              <c:numCache>
                <c:formatCode>0.0</c:formatCode>
                <c:ptCount val="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</c:numCache>
            </c:numRef>
          </c:xVal>
          <c:yVal>
            <c:numRef>
              <c:f>'Pesos del video'!$P$53:$P$61</c:f>
              <c:numCache>
                <c:formatCode>General</c:formatCode>
                <c:ptCount val="9"/>
                <c:pt idx="0">
                  <c:v>-1.1000920165763595E-2</c:v>
                </c:pt>
                <c:pt idx="1">
                  <c:v>2.1645863261914444</c:v>
                </c:pt>
                <c:pt idx="2">
                  <c:v>2.0568225226593859</c:v>
                </c:pt>
                <c:pt idx="3">
                  <c:v>1.3444335292289833</c:v>
                </c:pt>
                <c:pt idx="4">
                  <c:v>1.0348316875442132</c:v>
                </c:pt>
                <c:pt idx="5">
                  <c:v>0.7613127507448213</c:v>
                </c:pt>
                <c:pt idx="6">
                  <c:v>0.31976472213556029</c:v>
                </c:pt>
                <c:pt idx="7">
                  <c:v>0.1478355986713511</c:v>
                </c:pt>
                <c:pt idx="8">
                  <c:v>4.6326593245467063E-3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21-4138-8E1D-0711DA4EC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598895"/>
        <c:axId val="228606575"/>
      </c:scatterChart>
      <c:valAx>
        <c:axId val="22859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06575"/>
        <c:crosses val="autoZero"/>
        <c:crossBetween val="midCat"/>
      </c:valAx>
      <c:valAx>
        <c:axId val="22860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9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F35-4F3F-8F19-4DCF3E9A025C}"/>
              </c:ext>
            </c:extLst>
          </c:dPt>
          <c:xVal>
            <c:numRef>
              <c:f>'Pesos que yo encontre'!$C$14:$C$22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'Pesos que yo encontre'!$D$14:$D$22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35-4F3F-8F19-4DCF3E9A0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805679"/>
        <c:axId val="876812399"/>
      </c:scatterChart>
      <c:valAx>
        <c:axId val="87680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12399"/>
        <c:crosses val="autoZero"/>
        <c:crossBetween val="midCat"/>
      </c:valAx>
      <c:valAx>
        <c:axId val="876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0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063-4677-A072-9750CCA25E38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063-4677-A072-9750CCA25E38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063-4677-A072-9750CCA25E38}"/>
              </c:ext>
            </c:extLst>
          </c:dPt>
          <c:xVal>
            <c:numRef>
              <c:f>'Pesos que yo encontre'!$C$27:$C$35</c:f>
              <c:numCache>
                <c:formatCode>General</c:formatCode>
                <c:ptCount val="9"/>
                <c:pt idx="0">
                  <c:v>0.3</c:v>
                </c:pt>
                <c:pt idx="1">
                  <c:v>0.19999999999999998</c:v>
                </c:pt>
                <c:pt idx="2">
                  <c:v>9.9999999999999978E-2</c:v>
                </c:pt>
                <c:pt idx="3">
                  <c:v>-0.10000000000000003</c:v>
                </c:pt>
                <c:pt idx="4">
                  <c:v>-0.2</c:v>
                </c:pt>
                <c:pt idx="5">
                  <c:v>-0.3</c:v>
                </c:pt>
                <c:pt idx="6">
                  <c:v>-0.5</c:v>
                </c:pt>
                <c:pt idx="7">
                  <c:v>-0.60000000000000009</c:v>
                </c:pt>
                <c:pt idx="8">
                  <c:v>-0.7</c:v>
                </c:pt>
              </c:numCache>
            </c:numRef>
          </c:xVal>
          <c:yVal>
            <c:numRef>
              <c:f>'Pesos que yo encontre'!$D$27:$D$35</c:f>
              <c:numCache>
                <c:formatCode>General</c:formatCode>
                <c:ptCount val="9"/>
                <c:pt idx="0">
                  <c:v>-0.7</c:v>
                </c:pt>
                <c:pt idx="1">
                  <c:v>-0.6</c:v>
                </c:pt>
                <c:pt idx="2">
                  <c:v>-0.49999999999999994</c:v>
                </c:pt>
                <c:pt idx="3">
                  <c:v>-0.29999999999999993</c:v>
                </c:pt>
                <c:pt idx="4">
                  <c:v>-0.19999999999999996</c:v>
                </c:pt>
                <c:pt idx="5">
                  <c:v>-9.9999999999999978E-2</c:v>
                </c:pt>
                <c:pt idx="6">
                  <c:v>0.10000000000000009</c:v>
                </c:pt>
                <c:pt idx="7">
                  <c:v>0.20000000000000007</c:v>
                </c:pt>
                <c:pt idx="8">
                  <c:v>0.30000000000000004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3-4677-A072-9750CCA25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777407"/>
        <c:axId val="875773087"/>
      </c:scatterChart>
      <c:valAx>
        <c:axId val="87577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773087"/>
        <c:crosses val="autoZero"/>
        <c:crossBetween val="midCat"/>
      </c:valAx>
      <c:valAx>
        <c:axId val="87577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77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620-424D-A70C-7204CD527FCD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620-424D-A70C-7204CD527FCD}"/>
              </c:ext>
            </c:extLst>
          </c:dPt>
          <c:xVal>
            <c:numRef>
              <c:f>'Pesos que yo encontre'!$C$40:$C$48</c:f>
              <c:numCache>
                <c:formatCode>General</c:formatCode>
                <c:ptCount val="9"/>
                <c:pt idx="0">
                  <c:v>0.3</c:v>
                </c:pt>
                <c:pt idx="1">
                  <c:v>0.19999999999999998</c:v>
                </c:pt>
                <c:pt idx="2">
                  <c:v>9.9999999999999978E-2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'Pesos que yo encontre'!$D$40:$D$48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0.10000000000000009</c:v>
                </c:pt>
                <c:pt idx="7">
                  <c:v>0.20000000000000007</c:v>
                </c:pt>
                <c:pt idx="8">
                  <c:v>0.30000000000000004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20-424D-A70C-7204CD527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862319"/>
        <c:axId val="876862799"/>
      </c:scatterChart>
      <c:valAx>
        <c:axId val="8768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62799"/>
        <c:crosses val="autoZero"/>
        <c:crossBetween val="midCat"/>
      </c:valAx>
      <c:valAx>
        <c:axId val="87686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6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DDD-489B-9B63-323A1D3AA535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DDD-489B-9B63-323A1D3AA53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DDD-489B-9B63-323A1D3AA535}"/>
              </c:ext>
            </c:extLst>
          </c:dPt>
          <c:xVal>
            <c:numRef>
              <c:f>'Pesos que yo encontre'!$C$53:$C$61</c:f>
              <c:numCache>
                <c:formatCode>General</c:formatCode>
                <c:ptCount val="9"/>
                <c:pt idx="0">
                  <c:v>0.85435524446852718</c:v>
                </c:pt>
                <c:pt idx="1">
                  <c:v>0.79813886938159173</c:v>
                </c:pt>
                <c:pt idx="2">
                  <c:v>0.74439666007357097</c:v>
                </c:pt>
                <c:pt idx="3">
                  <c:v>0.64439666007357088</c:v>
                </c:pt>
                <c:pt idx="4">
                  <c:v>0.59813886938159178</c:v>
                </c:pt>
                <c:pt idx="5">
                  <c:v>0.55435524446852702</c:v>
                </c:pt>
                <c:pt idx="6">
                  <c:v>0.47407698418010669</c:v>
                </c:pt>
                <c:pt idx="7">
                  <c:v>0.43748795048588568</c:v>
                </c:pt>
                <c:pt idx="8">
                  <c:v>0.40318604888545784</c:v>
                </c:pt>
              </c:numCache>
            </c:numRef>
          </c:xVal>
          <c:yVal>
            <c:numRef>
              <c:f>'Pesos que yo encontre'!$D$53:$D$61</c:f>
              <c:numCache>
                <c:formatCode>General</c:formatCode>
                <c:ptCount val="9"/>
                <c:pt idx="0">
                  <c:v>0.40318604888545784</c:v>
                </c:pt>
                <c:pt idx="1">
                  <c:v>0.43748795048588568</c:v>
                </c:pt>
                <c:pt idx="2">
                  <c:v>0.47407698418010669</c:v>
                </c:pt>
                <c:pt idx="3">
                  <c:v>0.55435524446852702</c:v>
                </c:pt>
                <c:pt idx="4">
                  <c:v>0.59813886938159189</c:v>
                </c:pt>
                <c:pt idx="5">
                  <c:v>0.64439666007357099</c:v>
                </c:pt>
                <c:pt idx="6">
                  <c:v>0.74439666007357097</c:v>
                </c:pt>
                <c:pt idx="7">
                  <c:v>0.79813886938159173</c:v>
                </c:pt>
                <c:pt idx="8">
                  <c:v>0.85435524446852718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DD-489B-9B63-323A1D3AA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529023"/>
        <c:axId val="511528543"/>
      </c:scatterChart>
      <c:valAx>
        <c:axId val="51152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28543"/>
        <c:crosses val="autoZero"/>
        <c:crossBetween val="midCat"/>
      </c:valAx>
      <c:valAx>
        <c:axId val="51152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2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'Pesos que yo encontre'!$C$66:$C$74</c:f>
              <c:numCache>
                <c:formatCode>General</c:formatCode>
                <c:ptCount val="9"/>
                <c:pt idx="0">
                  <c:v>0.57444251681165903</c:v>
                </c:pt>
                <c:pt idx="1">
                  <c:v>0.54983399731247795</c:v>
                </c:pt>
                <c:pt idx="2">
                  <c:v>0.5249791874789399</c:v>
                </c:pt>
                <c:pt idx="3">
                  <c:v>0.47502081252105999</c:v>
                </c:pt>
                <c:pt idx="4">
                  <c:v>0.45016600268752216</c:v>
                </c:pt>
                <c:pt idx="5">
                  <c:v>0.42555748318834102</c:v>
                </c:pt>
                <c:pt idx="6">
                  <c:v>0.37754066879814541</c:v>
                </c:pt>
                <c:pt idx="7">
                  <c:v>0.35434369377420455</c:v>
                </c:pt>
                <c:pt idx="8">
                  <c:v>0.33181222783183389</c:v>
                </c:pt>
              </c:numCache>
            </c:numRef>
          </c:xVal>
          <c:yVal>
            <c:numRef>
              <c:f>'Pesos que yo encontre'!$D$66:$D$74</c:f>
              <c:numCache>
                <c:formatCode>General</c:formatCode>
                <c:ptCount val="9"/>
                <c:pt idx="0">
                  <c:v>0.33181222783183389</c:v>
                </c:pt>
                <c:pt idx="1">
                  <c:v>0.35434369377420455</c:v>
                </c:pt>
                <c:pt idx="2">
                  <c:v>0.37754066879814541</c:v>
                </c:pt>
                <c:pt idx="3">
                  <c:v>0.42555748318834108</c:v>
                </c:pt>
                <c:pt idx="4">
                  <c:v>0.45016600268752216</c:v>
                </c:pt>
                <c:pt idx="5">
                  <c:v>0.47502081252105999</c:v>
                </c:pt>
                <c:pt idx="6">
                  <c:v>0.52497918747894001</c:v>
                </c:pt>
                <c:pt idx="7">
                  <c:v>0.54983399731247795</c:v>
                </c:pt>
                <c:pt idx="8">
                  <c:v>0.57444251681165903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B-4212-B174-0A7B9F433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595055"/>
        <c:axId val="228592175"/>
      </c:scatterChart>
      <c:valAx>
        <c:axId val="22859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92175"/>
        <c:crosses val="autoZero"/>
        <c:crossBetween val="midCat"/>
      </c:valAx>
      <c:valAx>
        <c:axId val="22859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9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218800</xdr:colOff>
      <xdr:row>12</xdr:row>
      <xdr:rowOff>160395</xdr:rowOff>
    </xdr:from>
    <xdr:to>
      <xdr:col>7</xdr:col>
      <xdr:colOff>391205</xdr:colOff>
      <xdr:row>22</xdr:row>
      <xdr:rowOff>26738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412DF-1D21-422F-9A49-70341A8DF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136825</xdr:colOff>
      <xdr:row>25</xdr:row>
      <xdr:rowOff>125391</xdr:rowOff>
    </xdr:from>
    <xdr:to>
      <xdr:col>9</xdr:col>
      <xdr:colOff>193646</xdr:colOff>
      <xdr:row>35</xdr:row>
      <xdr:rowOff>155856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4D163F-7A23-4EB2-89D9-868EC243A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124120</xdr:colOff>
      <xdr:row>37</xdr:row>
      <xdr:rowOff>170124</xdr:rowOff>
    </xdr:from>
    <xdr:to>
      <xdr:col>9</xdr:col>
      <xdr:colOff>366839</xdr:colOff>
      <xdr:row>48</xdr:row>
      <xdr:rowOff>66315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897C94-23E7-4941-8086-C9851FA3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149632</xdr:colOff>
      <xdr:row>51</xdr:row>
      <xdr:rowOff>182706</xdr:rowOff>
    </xdr:from>
    <xdr:to>
      <xdr:col>9</xdr:col>
      <xdr:colOff>224388</xdr:colOff>
      <xdr:row>61</xdr:row>
      <xdr:rowOff>86958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02F3CD-5765-4623-966D-B1CD06E39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273050</xdr:colOff>
      <xdr:row>64</xdr:row>
      <xdr:rowOff>130175</xdr:rowOff>
    </xdr:from>
    <xdr:to>
      <xdr:col>9</xdr:col>
      <xdr:colOff>152400</xdr:colOff>
      <xdr:row>73</xdr:row>
      <xdr:rowOff>41274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7E42EA-E386-4A6D-94D1-2D63FC860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248443</xdr:colOff>
      <xdr:row>50</xdr:row>
      <xdr:rowOff>44450</xdr:rowOff>
    </xdr:from>
    <xdr:to>
      <xdr:col>22</xdr:col>
      <xdr:colOff>128588</xdr:colOff>
      <xdr:row>61</xdr:row>
      <xdr:rowOff>120649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5CC8CD-3B89-D78D-36D8-52E11D05E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218800</xdr:colOff>
      <xdr:row>12</xdr:row>
      <xdr:rowOff>160395</xdr:rowOff>
    </xdr:from>
    <xdr:to>
      <xdr:col>7</xdr:col>
      <xdr:colOff>391205</xdr:colOff>
      <xdr:row>22</xdr:row>
      <xdr:rowOff>26738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C612E-31FF-B8BC-DC6C-05EFBAB89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136825</xdr:colOff>
      <xdr:row>25</xdr:row>
      <xdr:rowOff>125391</xdr:rowOff>
    </xdr:from>
    <xdr:to>
      <xdr:col>9</xdr:col>
      <xdr:colOff>193646</xdr:colOff>
      <xdr:row>35</xdr:row>
      <xdr:rowOff>155856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A2740C-1814-F20A-FAC7-C5DD897AA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124120</xdr:colOff>
      <xdr:row>37</xdr:row>
      <xdr:rowOff>170124</xdr:rowOff>
    </xdr:from>
    <xdr:to>
      <xdr:col>9</xdr:col>
      <xdr:colOff>366839</xdr:colOff>
      <xdr:row>48</xdr:row>
      <xdr:rowOff>66315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9971FC-CCD0-A046-5E7C-CC1EB26F4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240120</xdr:colOff>
      <xdr:row>51</xdr:row>
      <xdr:rowOff>179531</xdr:rowOff>
    </xdr:from>
    <xdr:to>
      <xdr:col>9</xdr:col>
      <xdr:colOff>314876</xdr:colOff>
      <xdr:row>61</xdr:row>
      <xdr:rowOff>83783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4FE066-BAAE-BE7A-6C0A-71B3D5CBB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273050</xdr:colOff>
      <xdr:row>64</xdr:row>
      <xdr:rowOff>130175</xdr:rowOff>
    </xdr:from>
    <xdr:to>
      <xdr:col>9</xdr:col>
      <xdr:colOff>152400</xdr:colOff>
      <xdr:row>73</xdr:row>
      <xdr:rowOff>41274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D60410F-22EB-7025-28AB-81E742808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03F0-59A1-4BB1-B78F-7E2FE0DEB72D}">
  <dimension ref="B1:X74"/>
  <sheetViews>
    <sheetView tabSelected="1" topLeftCell="A45" zoomScale="87" workbookViewId="0">
      <selection activeCell="S47" sqref="S47"/>
    </sheetView>
  </sheetViews>
  <sheetFormatPr defaultRowHeight="14.5" x14ac:dyDescent="0.35"/>
  <cols>
    <col min="3" max="3" width="8.7265625" style="4"/>
    <col min="6" max="6" width="8.7265625" style="4"/>
  </cols>
  <sheetData>
    <row r="1" spans="2:10" ht="15" thickBot="1" x14ac:dyDescent="0.4"/>
    <row r="2" spans="2:10" x14ac:dyDescent="0.35">
      <c r="D2" s="5">
        <v>-34.4</v>
      </c>
      <c r="E2" s="6">
        <v>2.14</v>
      </c>
      <c r="G2" s="5">
        <v>-2.52</v>
      </c>
      <c r="H2" s="6">
        <v>1.29</v>
      </c>
    </row>
    <row r="3" spans="2:10" x14ac:dyDescent="0.35">
      <c r="B3" s="1">
        <v>0</v>
      </c>
      <c r="D3" s="7">
        <f>B3*D$2</f>
        <v>0</v>
      </c>
      <c r="E3" s="8">
        <f>D3+E$2</f>
        <v>2.14</v>
      </c>
      <c r="G3" s="7">
        <f>B3*G$2</f>
        <v>0</v>
      </c>
      <c r="H3" s="8">
        <f>G3+H$2</f>
        <v>1.29</v>
      </c>
    </row>
    <row r="4" spans="2:10" x14ac:dyDescent="0.35">
      <c r="B4" s="2">
        <v>0.1</v>
      </c>
      <c r="D4" s="7">
        <f t="shared" ref="D4:D11" si="0">B4*D$2</f>
        <v>-3.44</v>
      </c>
      <c r="E4" s="8">
        <f t="shared" ref="E4:E11" si="1">D4+E$2</f>
        <v>-1.2999999999999998</v>
      </c>
      <c r="G4" s="7">
        <f t="shared" ref="G4:G11" si="2">B4*G$2</f>
        <v>-0.252</v>
      </c>
      <c r="H4" s="8">
        <f t="shared" ref="H4:H11" si="3">G4+H$2</f>
        <v>1.038</v>
      </c>
    </row>
    <row r="5" spans="2:10" x14ac:dyDescent="0.35">
      <c r="B5" s="2">
        <v>0.2</v>
      </c>
      <c r="D5" s="7">
        <f t="shared" si="0"/>
        <v>-6.88</v>
      </c>
      <c r="E5" s="8">
        <f t="shared" si="1"/>
        <v>-4.74</v>
      </c>
      <c r="G5" s="7">
        <f t="shared" si="2"/>
        <v>-0.504</v>
      </c>
      <c r="H5" s="8">
        <f t="shared" si="3"/>
        <v>0.78600000000000003</v>
      </c>
      <c r="J5" t="s">
        <v>0</v>
      </c>
    </row>
    <row r="6" spans="2:10" x14ac:dyDescent="0.35">
      <c r="B6" s="3">
        <v>0.4</v>
      </c>
      <c r="D6" s="9">
        <f t="shared" si="0"/>
        <v>-13.76</v>
      </c>
      <c r="E6" s="10">
        <f t="shared" si="1"/>
        <v>-11.62</v>
      </c>
      <c r="G6" s="9">
        <f t="shared" si="2"/>
        <v>-1.008</v>
      </c>
      <c r="H6" s="10">
        <f t="shared" si="3"/>
        <v>0.28200000000000003</v>
      </c>
    </row>
    <row r="7" spans="2:10" x14ac:dyDescent="0.35">
      <c r="B7" s="3">
        <v>0.5</v>
      </c>
      <c r="D7" s="9">
        <f t="shared" si="0"/>
        <v>-17.2</v>
      </c>
      <c r="E7" s="10">
        <f t="shared" si="1"/>
        <v>-15.059999999999999</v>
      </c>
      <c r="G7" s="9">
        <f t="shared" si="2"/>
        <v>-1.26</v>
      </c>
      <c r="H7" s="10">
        <f t="shared" si="3"/>
        <v>3.0000000000000027E-2</v>
      </c>
    </row>
    <row r="8" spans="2:10" x14ac:dyDescent="0.35">
      <c r="B8" s="3">
        <v>0.6</v>
      </c>
      <c r="D8" s="9">
        <f t="shared" si="0"/>
        <v>-20.639999999999997</v>
      </c>
      <c r="E8" s="10">
        <f t="shared" si="1"/>
        <v>-18.499999999999996</v>
      </c>
      <c r="G8" s="9">
        <f t="shared" si="2"/>
        <v>-1.512</v>
      </c>
      <c r="H8" s="10">
        <f t="shared" si="3"/>
        <v>-0.22199999999999998</v>
      </c>
    </row>
    <row r="9" spans="2:10" x14ac:dyDescent="0.35">
      <c r="B9" s="2">
        <v>0.8</v>
      </c>
      <c r="D9" s="7">
        <f t="shared" si="0"/>
        <v>-27.52</v>
      </c>
      <c r="E9" s="8">
        <f t="shared" si="1"/>
        <v>-25.38</v>
      </c>
      <c r="G9" s="7">
        <f t="shared" si="2"/>
        <v>-2.016</v>
      </c>
      <c r="H9" s="8">
        <f t="shared" si="3"/>
        <v>-0.72599999999999998</v>
      </c>
    </row>
    <row r="10" spans="2:10" x14ac:dyDescent="0.35">
      <c r="B10" s="2">
        <v>0.9</v>
      </c>
      <c r="D10" s="7">
        <f t="shared" si="0"/>
        <v>-30.96</v>
      </c>
      <c r="E10" s="8">
        <f t="shared" si="1"/>
        <v>-28.82</v>
      </c>
      <c r="G10" s="7">
        <f t="shared" si="2"/>
        <v>-2.2680000000000002</v>
      </c>
      <c r="H10" s="8">
        <f t="shared" si="3"/>
        <v>-0.9780000000000002</v>
      </c>
    </row>
    <row r="11" spans="2:10" ht="15" thickBot="1" x14ac:dyDescent="0.4">
      <c r="B11" s="1">
        <v>1</v>
      </c>
      <c r="D11" s="11">
        <f t="shared" si="0"/>
        <v>-34.4</v>
      </c>
      <c r="E11" s="12">
        <f t="shared" si="1"/>
        <v>-32.26</v>
      </c>
      <c r="G11" s="11">
        <f t="shared" si="2"/>
        <v>-2.52</v>
      </c>
      <c r="H11" s="12">
        <f t="shared" si="3"/>
        <v>-1.23</v>
      </c>
    </row>
    <row r="13" spans="2:10" ht="15" thickBot="1" x14ac:dyDescent="0.4">
      <c r="B13" t="s">
        <v>1</v>
      </c>
    </row>
    <row r="14" spans="2:10" x14ac:dyDescent="0.35">
      <c r="B14" s="19">
        <f>B3</f>
        <v>0</v>
      </c>
      <c r="C14" s="16">
        <f>(IF(E3&gt;0,1,0))</f>
        <v>1</v>
      </c>
      <c r="D14" s="17">
        <f>(IF(H3&gt;0,1,0))</f>
        <v>1</v>
      </c>
      <c r="G14" s="13"/>
    </row>
    <row r="15" spans="2:10" x14ac:dyDescent="0.35">
      <c r="B15" s="20">
        <f>B4</f>
        <v>0.1</v>
      </c>
      <c r="C15" s="14">
        <f>(IF(E4&gt;0,1,0))</f>
        <v>0</v>
      </c>
      <c r="D15" s="8">
        <f>(IF(H4&gt;0,1,0))</f>
        <v>1</v>
      </c>
      <c r="G15" s="13"/>
    </row>
    <row r="16" spans="2:10" x14ac:dyDescent="0.35">
      <c r="B16" s="20">
        <f>B5</f>
        <v>0.2</v>
      </c>
      <c r="C16" s="14">
        <f>(IF(E5&gt;0,1,0))</f>
        <v>0</v>
      </c>
      <c r="D16" s="8">
        <f>(IF(H5&gt;0,1,0))</f>
        <v>1</v>
      </c>
      <c r="G16" s="13"/>
    </row>
    <row r="17" spans="2:7" x14ac:dyDescent="0.35">
      <c r="B17" s="21">
        <f>B6</f>
        <v>0.4</v>
      </c>
      <c r="C17" s="15">
        <f>(IF(E6&gt;0,1,0))</f>
        <v>0</v>
      </c>
      <c r="D17" s="10">
        <f>(IF(H6&gt;0,1,0))</f>
        <v>1</v>
      </c>
      <c r="G17" s="13"/>
    </row>
    <row r="18" spans="2:7" x14ac:dyDescent="0.35">
      <c r="B18" s="21">
        <f>B7</f>
        <v>0.5</v>
      </c>
      <c r="C18" s="15">
        <f>(IF(E7&gt;0,1,0))</f>
        <v>0</v>
      </c>
      <c r="D18" s="10">
        <f>(IF(H7&gt;0,1,0))</f>
        <v>1</v>
      </c>
      <c r="G18" s="13"/>
    </row>
    <row r="19" spans="2:7" x14ac:dyDescent="0.35">
      <c r="B19" s="21">
        <f>B8</f>
        <v>0.6</v>
      </c>
      <c r="C19" s="15">
        <f>(IF(E8&gt;0,1,0))</f>
        <v>0</v>
      </c>
      <c r="D19" s="10">
        <f>(IF(H8&gt;0,1,0))</f>
        <v>0</v>
      </c>
      <c r="G19" s="13"/>
    </row>
    <row r="20" spans="2:7" x14ac:dyDescent="0.35">
      <c r="B20" s="20">
        <f>B9</f>
        <v>0.8</v>
      </c>
      <c r="C20" s="14">
        <f>(IF(E9&gt;0,1,0))</f>
        <v>0</v>
      </c>
      <c r="D20" s="8">
        <f>(IF(H9&gt;0,1,0))</f>
        <v>0</v>
      </c>
      <c r="G20" s="13"/>
    </row>
    <row r="21" spans="2:7" x14ac:dyDescent="0.35">
      <c r="B21" s="20">
        <f>B10</f>
        <v>0.9</v>
      </c>
      <c r="C21" s="14">
        <f>(IF(E10&gt;0,1,0))</f>
        <v>0</v>
      </c>
      <c r="D21" s="8">
        <f>(IF(H10&gt;0,1,0))</f>
        <v>0</v>
      </c>
      <c r="G21" s="13"/>
    </row>
    <row r="22" spans="2:7" ht="15" thickBot="1" x14ac:dyDescent="0.4">
      <c r="B22" s="22">
        <f>B11</f>
        <v>1</v>
      </c>
      <c r="C22" s="18">
        <f>(IF(E11&gt;0,1,0))</f>
        <v>0</v>
      </c>
      <c r="D22" s="12">
        <f>(IF(H11&gt;0,1,0))</f>
        <v>0</v>
      </c>
      <c r="G22" s="13"/>
    </row>
    <row r="23" spans="2:7" x14ac:dyDescent="0.35">
      <c r="G23" s="4"/>
    </row>
    <row r="24" spans="2:7" x14ac:dyDescent="0.35">
      <c r="G24" s="4"/>
    </row>
    <row r="25" spans="2:7" x14ac:dyDescent="0.35">
      <c r="G25" s="4"/>
    </row>
    <row r="26" spans="2:7" ht="15" thickBot="1" x14ac:dyDescent="0.4">
      <c r="B26" t="s">
        <v>2</v>
      </c>
      <c r="G26" s="4"/>
    </row>
    <row r="27" spans="2:7" x14ac:dyDescent="0.35">
      <c r="B27" s="19">
        <f>B3</f>
        <v>0</v>
      </c>
      <c r="C27" s="16">
        <f>E3</f>
        <v>2.14</v>
      </c>
      <c r="D27" s="17">
        <f>H3</f>
        <v>1.29</v>
      </c>
      <c r="E27" s="4">
        <v>1</v>
      </c>
    </row>
    <row r="28" spans="2:7" x14ac:dyDescent="0.35">
      <c r="B28" s="20">
        <f>B4</f>
        <v>0.1</v>
      </c>
      <c r="C28" s="14">
        <f>E4</f>
        <v>-1.2999999999999998</v>
      </c>
      <c r="D28" s="8">
        <f>H4</f>
        <v>1.038</v>
      </c>
      <c r="E28">
        <v>1</v>
      </c>
    </row>
    <row r="29" spans="2:7" x14ac:dyDescent="0.35">
      <c r="B29" s="20">
        <f>B5</f>
        <v>0.2</v>
      </c>
      <c r="C29" s="14">
        <f>E5</f>
        <v>-4.74</v>
      </c>
      <c r="D29" s="8">
        <f>H5</f>
        <v>0.78600000000000003</v>
      </c>
      <c r="E29">
        <v>1</v>
      </c>
    </row>
    <row r="30" spans="2:7" x14ac:dyDescent="0.35">
      <c r="B30" s="21">
        <f>B6</f>
        <v>0.4</v>
      </c>
      <c r="C30" s="15">
        <f>E6</f>
        <v>-11.62</v>
      </c>
      <c r="D30" s="10">
        <f>H6</f>
        <v>0.28200000000000003</v>
      </c>
      <c r="E30">
        <v>-1</v>
      </c>
    </row>
    <row r="31" spans="2:7" x14ac:dyDescent="0.35">
      <c r="B31" s="21">
        <f>B7</f>
        <v>0.5</v>
      </c>
      <c r="C31" s="15">
        <f>E7</f>
        <v>-15.059999999999999</v>
      </c>
      <c r="D31" s="10">
        <f>H7</f>
        <v>3.0000000000000027E-2</v>
      </c>
      <c r="E31">
        <v>-1</v>
      </c>
    </row>
    <row r="32" spans="2:7" x14ac:dyDescent="0.35">
      <c r="B32" s="21">
        <f>B8</f>
        <v>0.6</v>
      </c>
      <c r="C32" s="15">
        <f>E8</f>
        <v>-18.499999999999996</v>
      </c>
      <c r="D32" s="10">
        <f>H8</f>
        <v>-0.22199999999999998</v>
      </c>
      <c r="E32">
        <v>-1</v>
      </c>
    </row>
    <row r="33" spans="2:5" x14ac:dyDescent="0.35">
      <c r="B33" s="20">
        <f>B9</f>
        <v>0.8</v>
      </c>
      <c r="C33" s="14">
        <f>E9</f>
        <v>-25.38</v>
      </c>
      <c r="D33" s="8">
        <f>H9</f>
        <v>-0.72599999999999998</v>
      </c>
      <c r="E33">
        <v>1</v>
      </c>
    </row>
    <row r="34" spans="2:5" x14ac:dyDescent="0.35">
      <c r="B34" s="20">
        <f>B10</f>
        <v>0.9</v>
      </c>
      <c r="C34" s="14">
        <f>E10</f>
        <v>-28.82</v>
      </c>
      <c r="D34" s="8">
        <f>H10</f>
        <v>-0.9780000000000002</v>
      </c>
      <c r="E34">
        <v>1</v>
      </c>
    </row>
    <row r="35" spans="2:5" ht="15" thickBot="1" x14ac:dyDescent="0.4">
      <c r="B35" s="22">
        <f>B11</f>
        <v>1</v>
      </c>
      <c r="C35" s="18">
        <f>E11</f>
        <v>-32.26</v>
      </c>
      <c r="D35" s="12">
        <f>H11</f>
        <v>-1.23</v>
      </c>
      <c r="E35">
        <v>1</v>
      </c>
    </row>
    <row r="39" spans="2:5" ht="15" thickBot="1" x14ac:dyDescent="0.4">
      <c r="B39" t="s">
        <v>3</v>
      </c>
    </row>
    <row r="40" spans="2:5" x14ac:dyDescent="0.35">
      <c r="B40" s="19">
        <f>B3</f>
        <v>0</v>
      </c>
      <c r="C40" s="16">
        <f>(IF(E3&gt;0,E3,0))</f>
        <v>2.14</v>
      </c>
      <c r="D40" s="17">
        <f>(IF(H3&gt;0,H3,0))</f>
        <v>1.29</v>
      </c>
    </row>
    <row r="41" spans="2:5" x14ac:dyDescent="0.35">
      <c r="B41" s="20">
        <f>B4</f>
        <v>0.1</v>
      </c>
      <c r="C41" s="14">
        <f>(IF(E4&gt;0,E4,0))</f>
        <v>0</v>
      </c>
      <c r="D41" s="8">
        <f>(IF(H4&gt;0,H4,0))</f>
        <v>1.038</v>
      </c>
    </row>
    <row r="42" spans="2:5" x14ac:dyDescent="0.35">
      <c r="B42" s="20">
        <f>B5</f>
        <v>0.2</v>
      </c>
      <c r="C42" s="14">
        <f>(IF(E5&gt;0,E5,0))</f>
        <v>0</v>
      </c>
      <c r="D42" s="8">
        <f>(IF(H5&gt;0,H5,0))</f>
        <v>0.78600000000000003</v>
      </c>
    </row>
    <row r="43" spans="2:5" x14ac:dyDescent="0.35">
      <c r="B43" s="21">
        <f>B6</f>
        <v>0.4</v>
      </c>
      <c r="C43" s="15">
        <f>(IF(E6&gt;0,E6,0))</f>
        <v>0</v>
      </c>
      <c r="D43" s="10">
        <f>(IF(H6&gt;0,H6,0))</f>
        <v>0.28200000000000003</v>
      </c>
    </row>
    <row r="44" spans="2:5" x14ac:dyDescent="0.35">
      <c r="B44" s="21">
        <f>B7</f>
        <v>0.5</v>
      </c>
      <c r="C44" s="15">
        <f>(IF(E7&gt;0,E7,0))</f>
        <v>0</v>
      </c>
      <c r="D44" s="10">
        <f>(IF(H7&gt;0,H7,0))</f>
        <v>3.0000000000000027E-2</v>
      </c>
    </row>
    <row r="45" spans="2:5" x14ac:dyDescent="0.35">
      <c r="B45" s="21">
        <f>B8</f>
        <v>0.6</v>
      </c>
      <c r="C45" s="15">
        <f>(IF(E8&gt;0,E8,0))</f>
        <v>0</v>
      </c>
      <c r="D45" s="10">
        <f>(IF(H8&gt;0,H8,0))</f>
        <v>0</v>
      </c>
    </row>
    <row r="46" spans="2:5" x14ac:dyDescent="0.35">
      <c r="B46" s="20">
        <f>B9</f>
        <v>0.8</v>
      </c>
      <c r="C46" s="14">
        <f>(IF(E9&gt;0,E9,0))</f>
        <v>0</v>
      </c>
      <c r="D46" s="8">
        <f>(IF(H9&gt;0,H9,0))</f>
        <v>0</v>
      </c>
    </row>
    <row r="47" spans="2:5" x14ac:dyDescent="0.35">
      <c r="B47" s="20">
        <f>B10</f>
        <v>0.9</v>
      </c>
      <c r="C47" s="14">
        <f>(IF(E10&gt;0,E10,0))</f>
        <v>0</v>
      </c>
      <c r="D47" s="8">
        <f>(IF(H10&gt;0,H10,0))</f>
        <v>0</v>
      </c>
    </row>
    <row r="48" spans="2:5" ht="15" thickBot="1" x14ac:dyDescent="0.4">
      <c r="B48" s="22">
        <f>B11</f>
        <v>1</v>
      </c>
      <c r="C48" s="18">
        <f>(IF(E11&gt;0,E11,0))</f>
        <v>0</v>
      </c>
      <c r="D48" s="12">
        <f>(IF(H11&gt;0,H11,0))</f>
        <v>0</v>
      </c>
    </row>
    <row r="52" spans="2:24" ht="15" thickBot="1" x14ac:dyDescent="0.4">
      <c r="B52" t="s">
        <v>4</v>
      </c>
      <c r="L52">
        <v>-1.3</v>
      </c>
      <c r="M52">
        <v>2.2799999999999998</v>
      </c>
      <c r="P52">
        <v>-0.57999999999999996</v>
      </c>
      <c r="X52" t="s">
        <v>6</v>
      </c>
    </row>
    <row r="53" spans="2:24" ht="15" thickBot="1" x14ac:dyDescent="0.4">
      <c r="B53" s="19">
        <f>B3</f>
        <v>0</v>
      </c>
      <c r="C53" s="16">
        <f>LN(1+EXP(E3))</f>
        <v>2.2512325998949305</v>
      </c>
      <c r="D53" s="17">
        <f>LN(1+EXP(H3))</f>
        <v>1.5331585349551082</v>
      </c>
      <c r="K53" s="19">
        <f>B3</f>
        <v>0</v>
      </c>
      <c r="L53" s="16">
        <f>C53*L$52</f>
        <v>-2.92660237986341</v>
      </c>
      <c r="M53" s="17">
        <f>D53*M$52</f>
        <v>3.4956014596976464</v>
      </c>
      <c r="O53" s="19">
        <f>B3</f>
        <v>0</v>
      </c>
      <c r="P53" s="6">
        <f>L53+M53+P$52</f>
        <v>-1.1000920165763595E-2</v>
      </c>
    </row>
    <row r="54" spans="2:24" ht="15" thickBot="1" x14ac:dyDescent="0.4">
      <c r="B54" s="20">
        <f t="shared" ref="B54:B61" si="4">B4</f>
        <v>0.1</v>
      </c>
      <c r="C54" s="14">
        <f t="shared" ref="C54:C61" si="5">LN(1+EXP(E4))</f>
        <v>0.24100845383299216</v>
      </c>
      <c r="D54" s="8">
        <f t="shared" ref="D54:D61" si="6">LN(1+EXP(H4))</f>
        <v>1.3411830334097958</v>
      </c>
      <c r="K54" s="20">
        <f>B4</f>
        <v>0.1</v>
      </c>
      <c r="L54" s="14">
        <f>C54*L$52</f>
        <v>-0.31331098998288981</v>
      </c>
      <c r="M54" s="8">
        <f>D54*M$52</f>
        <v>3.0578973161743344</v>
      </c>
      <c r="O54" s="20">
        <f>B4</f>
        <v>0.1</v>
      </c>
      <c r="P54" s="6">
        <f t="shared" ref="P54:P61" si="7">L54+M54+P$52</f>
        <v>2.1645863261914444</v>
      </c>
    </row>
    <row r="55" spans="2:24" ht="15" thickBot="1" x14ac:dyDescent="0.4">
      <c r="B55" s="20">
        <f t="shared" si="4"/>
        <v>0.2</v>
      </c>
      <c r="C55" s="14">
        <f t="shared" si="5"/>
        <v>8.7006852082939356E-3</v>
      </c>
      <c r="D55" s="8">
        <f t="shared" si="6"/>
        <v>1.1614620234342843</v>
      </c>
      <c r="K55" s="20">
        <f>B5</f>
        <v>0.2</v>
      </c>
      <c r="L55" s="14">
        <f>C55*L$52</f>
        <v>-1.1310890770782117E-2</v>
      </c>
      <c r="M55" s="8">
        <f>D55*M$52</f>
        <v>2.6481334134301679</v>
      </c>
      <c r="O55" s="20">
        <f>B5</f>
        <v>0.2</v>
      </c>
      <c r="P55" s="6">
        <f t="shared" si="7"/>
        <v>2.0568225226593859</v>
      </c>
      <c r="X55" t="s">
        <v>7</v>
      </c>
    </row>
    <row r="56" spans="2:24" ht="15" thickBot="1" x14ac:dyDescent="0.4">
      <c r="B56" s="21">
        <f t="shared" si="4"/>
        <v>0.4</v>
      </c>
      <c r="C56" s="15">
        <f t="shared" si="5"/>
        <v>8.9845466774137027E-6</v>
      </c>
      <c r="D56" s="10">
        <f t="shared" si="6"/>
        <v>0.84405491628932627</v>
      </c>
      <c r="K56" s="21">
        <f>B6</f>
        <v>0.4</v>
      </c>
      <c r="L56" s="15">
        <f>C56*L$52</f>
        <v>-1.1679910680637815E-5</v>
      </c>
      <c r="M56" s="10">
        <f>D56*M$52</f>
        <v>1.9244452091396638</v>
      </c>
      <c r="O56" s="21">
        <f>B6</f>
        <v>0.4</v>
      </c>
      <c r="P56" s="6">
        <f t="shared" si="7"/>
        <v>1.3444335292289833</v>
      </c>
      <c r="X56" t="s">
        <v>8</v>
      </c>
    </row>
    <row r="57" spans="2:24" ht="15" thickBot="1" x14ac:dyDescent="0.4">
      <c r="B57" s="21">
        <f t="shared" si="4"/>
        <v>0.5</v>
      </c>
      <c r="C57" s="15">
        <f t="shared" si="5"/>
        <v>2.8808791465998513E-7</v>
      </c>
      <c r="D57" s="10">
        <f t="shared" si="6"/>
        <v>0.70825967634144837</v>
      </c>
      <c r="K57" s="21">
        <f>B7</f>
        <v>0.5</v>
      </c>
      <c r="L57" s="15">
        <f>C57*L$52</f>
        <v>-3.7451428905798071E-7</v>
      </c>
      <c r="M57" s="10">
        <f>D57*M$52</f>
        <v>1.6148320620585022</v>
      </c>
      <c r="O57" s="21">
        <f>B7</f>
        <v>0.5</v>
      </c>
      <c r="P57" s="6">
        <f t="shared" si="7"/>
        <v>1.0348316875442132</v>
      </c>
    </row>
    <row r="58" spans="2:24" ht="15" thickBot="1" x14ac:dyDescent="0.4">
      <c r="B58" s="21">
        <f t="shared" si="4"/>
        <v>0.6</v>
      </c>
      <c r="C58" s="15">
        <f t="shared" si="5"/>
        <v>9.2374496513898062E-9</v>
      </c>
      <c r="D58" s="10">
        <f t="shared" si="6"/>
        <v>0.58829507138311665</v>
      </c>
      <c r="K58" s="21">
        <f>B8</f>
        <v>0.6</v>
      </c>
      <c r="L58" s="15">
        <f>C58*L$52</f>
        <v>-1.2008684546806748E-8</v>
      </c>
      <c r="M58" s="10">
        <f>D58*M$52</f>
        <v>1.3413127627535057</v>
      </c>
      <c r="O58" s="21">
        <f>B8</f>
        <v>0.6</v>
      </c>
      <c r="P58" s="6">
        <f t="shared" si="7"/>
        <v>0.7613127507448213</v>
      </c>
      <c r="X58" t="s">
        <v>9</v>
      </c>
    </row>
    <row r="59" spans="2:24" ht="15" thickBot="1" x14ac:dyDescent="0.4">
      <c r="B59" s="20">
        <f t="shared" si="4"/>
        <v>0.8</v>
      </c>
      <c r="C59" s="14">
        <f t="shared" si="5"/>
        <v>9.4975138864132634E-12</v>
      </c>
      <c r="D59" s="8">
        <f t="shared" si="6"/>
        <v>0.39463365006487156</v>
      </c>
      <c r="K59" s="20">
        <f>B9</f>
        <v>0.8</v>
      </c>
      <c r="L59" s="14">
        <f>C59*L$52</f>
        <v>-1.2346768052337242E-11</v>
      </c>
      <c r="M59" s="8">
        <f>D59*M$52</f>
        <v>0.89976472214790704</v>
      </c>
      <c r="O59" s="20">
        <f>B9</f>
        <v>0.8</v>
      </c>
      <c r="P59" s="6">
        <f t="shared" si="7"/>
        <v>0.31976472213556029</v>
      </c>
      <c r="X59" t="s">
        <v>10</v>
      </c>
    </row>
    <row r="60" spans="2:24" ht="15" thickBot="1" x14ac:dyDescent="0.4">
      <c r="B60" s="20">
        <f t="shared" si="4"/>
        <v>0.9</v>
      </c>
      <c r="C60" s="14">
        <f t="shared" si="5"/>
        <v>3.0442315335217158E-13</v>
      </c>
      <c r="D60" s="8">
        <f t="shared" si="6"/>
        <v>0.31922613976831005</v>
      </c>
      <c r="K60" s="20">
        <f>B10</f>
        <v>0.9</v>
      </c>
      <c r="L60" s="14">
        <f>C60*L$52</f>
        <v>-3.9575009935782306E-13</v>
      </c>
      <c r="M60" s="8">
        <f>D60*M$52</f>
        <v>0.72783559867174685</v>
      </c>
      <c r="O60" s="20">
        <f>B10</f>
        <v>0.9</v>
      </c>
      <c r="P60" s="6">
        <f t="shared" si="7"/>
        <v>0.1478355986713511</v>
      </c>
    </row>
    <row r="61" spans="2:24" ht="15" thickBot="1" x14ac:dyDescent="0.4">
      <c r="B61" s="22">
        <f t="shared" si="4"/>
        <v>1</v>
      </c>
      <c r="C61" s="18">
        <f t="shared" si="5"/>
        <v>9.7699626167013302E-15</v>
      </c>
      <c r="D61" s="12">
        <f t="shared" si="6"/>
        <v>0.25641783303708743</v>
      </c>
      <c r="K61" s="22">
        <f>B11</f>
        <v>1</v>
      </c>
      <c r="L61" s="18">
        <f>C61*L$52</f>
        <v>-1.270095140171173E-14</v>
      </c>
      <c r="M61" s="12">
        <f>D61*M$52</f>
        <v>0.58463265932455932</v>
      </c>
      <c r="O61" s="22">
        <f>B11</f>
        <v>1</v>
      </c>
      <c r="P61" s="6">
        <f t="shared" si="7"/>
        <v>4.6326593245467063E-3</v>
      </c>
    </row>
    <row r="65" spans="2:4" ht="15" thickBot="1" x14ac:dyDescent="0.4">
      <c r="B65" t="s">
        <v>5</v>
      </c>
    </row>
    <row r="66" spans="2:4" x14ac:dyDescent="0.35">
      <c r="B66" s="19">
        <f>B3</f>
        <v>0</v>
      </c>
      <c r="C66" s="16">
        <f>1/(1+EXP(-E3))</f>
        <v>0.89473061047749025</v>
      </c>
      <c r="D66" s="17">
        <f>1/(1+EXP(-H3))</f>
        <v>0.78414718917748549</v>
      </c>
    </row>
    <row r="67" spans="2:4" x14ac:dyDescent="0.35">
      <c r="B67" s="20">
        <f t="shared" ref="B67:B74" si="8">B4</f>
        <v>0.1</v>
      </c>
      <c r="C67" s="14">
        <f t="shared" ref="C67:C74" si="9">1/(1+EXP(-E4))</f>
        <v>0.21416501695744142</v>
      </c>
      <c r="D67" s="8">
        <f t="shared" ref="D67:D74" si="10">1/(1+EXP(-H4))</f>
        <v>0.73846392043063569</v>
      </c>
    </row>
    <row r="68" spans="2:4" x14ac:dyDescent="0.35">
      <c r="B68" s="20">
        <f t="shared" si="8"/>
        <v>0.2</v>
      </c>
      <c r="C68" s="14">
        <f t="shared" si="9"/>
        <v>8.6629437848131617E-3</v>
      </c>
      <c r="D68" s="8">
        <f t="shared" si="10"/>
        <v>0.68697180838307004</v>
      </c>
    </row>
    <row r="69" spans="2:4" x14ac:dyDescent="0.35">
      <c r="B69" s="21">
        <f t="shared" si="8"/>
        <v>0.4</v>
      </c>
      <c r="C69" s="15">
        <f t="shared" si="9"/>
        <v>8.9845063164042411E-6</v>
      </c>
      <c r="D69" s="10">
        <f t="shared" si="10"/>
        <v>0.57003648223005543</v>
      </c>
    </row>
    <row r="70" spans="2:4" x14ac:dyDescent="0.35">
      <c r="B70" s="21">
        <f t="shared" si="8"/>
        <v>0.5</v>
      </c>
      <c r="C70" s="15">
        <f t="shared" si="9"/>
        <v>2.8808787319509513E-7</v>
      </c>
      <c r="D70" s="10">
        <f t="shared" si="10"/>
        <v>0.50749943755062032</v>
      </c>
    </row>
    <row r="71" spans="2:4" x14ac:dyDescent="0.35">
      <c r="B71" s="21">
        <f t="shared" si="8"/>
        <v>0.6</v>
      </c>
      <c r="C71" s="15">
        <f t="shared" si="9"/>
        <v>9.2374495766401528E-9</v>
      </c>
      <c r="D71" s="10">
        <f t="shared" si="10"/>
        <v>0.44472682070240099</v>
      </c>
    </row>
    <row r="72" spans="2:4" x14ac:dyDescent="0.35">
      <c r="B72" s="20">
        <f t="shared" si="8"/>
        <v>0.8</v>
      </c>
      <c r="C72" s="14">
        <f t="shared" si="9"/>
        <v>9.4974288624661951E-12</v>
      </c>
      <c r="D72" s="8">
        <f t="shared" si="10"/>
        <v>0.32607311289886975</v>
      </c>
    </row>
    <row r="73" spans="2:4" x14ac:dyDescent="0.35">
      <c r="B73" s="20">
        <f t="shared" si="8"/>
        <v>0.9</v>
      </c>
      <c r="C73" s="14">
        <f t="shared" si="9"/>
        <v>3.0453206790152034E-13</v>
      </c>
      <c r="D73" s="8">
        <f t="shared" si="10"/>
        <v>0.27328880757745783</v>
      </c>
    </row>
    <row r="74" spans="2:4" ht="15" thickBot="1" x14ac:dyDescent="0.4">
      <c r="B74" s="22">
        <f t="shared" si="8"/>
        <v>1</v>
      </c>
      <c r="C74" s="18">
        <f t="shared" si="9"/>
        <v>9.7647249295078791E-15</v>
      </c>
      <c r="D74" s="12">
        <f t="shared" si="10"/>
        <v>0.2261814257305462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3BFD-FE6A-470E-B1AC-B78804BB9EAA}">
  <dimension ref="B1:J74"/>
  <sheetViews>
    <sheetView topLeftCell="A25" zoomScale="157" workbookViewId="0">
      <selection activeCell="D64" sqref="D64"/>
    </sheetView>
  </sheetViews>
  <sheetFormatPr defaultRowHeight="14.5" x14ac:dyDescent="0.35"/>
  <cols>
    <col min="3" max="3" width="8.7265625" style="4"/>
    <col min="6" max="6" width="8.7265625" style="4"/>
  </cols>
  <sheetData>
    <row r="1" spans="2:10" ht="15" thickBot="1" x14ac:dyDescent="0.4"/>
    <row r="2" spans="2:10" x14ac:dyDescent="0.35">
      <c r="D2" s="5">
        <v>-1</v>
      </c>
      <c r="E2" s="6">
        <v>0.3</v>
      </c>
      <c r="G2" s="5">
        <v>1</v>
      </c>
      <c r="H2" s="6">
        <v>-0.7</v>
      </c>
    </row>
    <row r="3" spans="2:10" x14ac:dyDescent="0.35">
      <c r="B3" s="1">
        <v>0</v>
      </c>
      <c r="D3" s="7">
        <f>B3*D$2</f>
        <v>0</v>
      </c>
      <c r="E3" s="8">
        <f>D3+E$2</f>
        <v>0.3</v>
      </c>
      <c r="G3" s="7">
        <f>B3*G$2</f>
        <v>0</v>
      </c>
      <c r="H3" s="8">
        <f>G3+H$2</f>
        <v>-0.7</v>
      </c>
    </row>
    <row r="4" spans="2:10" x14ac:dyDescent="0.35">
      <c r="B4" s="2">
        <v>0.1</v>
      </c>
      <c r="D4" s="7">
        <f t="shared" ref="D4:D11" si="0">B4*D$2</f>
        <v>-0.1</v>
      </c>
      <c r="E4" s="8">
        <f t="shared" ref="E4:E11" si="1">D4+E$2</f>
        <v>0.19999999999999998</v>
      </c>
      <c r="G4" s="7">
        <f t="shared" ref="G4:G11" si="2">B4*G$2</f>
        <v>0.1</v>
      </c>
      <c r="H4" s="8">
        <f t="shared" ref="H4:H11" si="3">G4+H$2</f>
        <v>-0.6</v>
      </c>
    </row>
    <row r="5" spans="2:10" x14ac:dyDescent="0.35">
      <c r="B5" s="2">
        <v>0.2</v>
      </c>
      <c r="D5" s="7">
        <f t="shared" si="0"/>
        <v>-0.2</v>
      </c>
      <c r="E5" s="8">
        <f t="shared" si="1"/>
        <v>9.9999999999999978E-2</v>
      </c>
      <c r="G5" s="7">
        <f t="shared" si="2"/>
        <v>0.2</v>
      </c>
      <c r="H5" s="8">
        <f t="shared" si="3"/>
        <v>-0.49999999999999994</v>
      </c>
      <c r="J5" t="s">
        <v>0</v>
      </c>
    </row>
    <row r="6" spans="2:10" x14ac:dyDescent="0.35">
      <c r="B6" s="3">
        <v>0.4</v>
      </c>
      <c r="D6" s="9">
        <f t="shared" si="0"/>
        <v>-0.4</v>
      </c>
      <c r="E6" s="10">
        <f t="shared" si="1"/>
        <v>-0.10000000000000003</v>
      </c>
      <c r="G6" s="9">
        <f t="shared" si="2"/>
        <v>0.4</v>
      </c>
      <c r="H6" s="10">
        <f t="shared" si="3"/>
        <v>-0.29999999999999993</v>
      </c>
    </row>
    <row r="7" spans="2:10" x14ac:dyDescent="0.35">
      <c r="B7" s="3">
        <v>0.5</v>
      </c>
      <c r="D7" s="9">
        <f t="shared" si="0"/>
        <v>-0.5</v>
      </c>
      <c r="E7" s="10">
        <f t="shared" si="1"/>
        <v>-0.2</v>
      </c>
      <c r="G7" s="9">
        <f t="shared" si="2"/>
        <v>0.5</v>
      </c>
      <c r="H7" s="10">
        <f t="shared" si="3"/>
        <v>-0.19999999999999996</v>
      </c>
    </row>
    <row r="8" spans="2:10" x14ac:dyDescent="0.35">
      <c r="B8" s="3">
        <v>0.6</v>
      </c>
      <c r="D8" s="9">
        <f t="shared" si="0"/>
        <v>-0.6</v>
      </c>
      <c r="E8" s="10">
        <f t="shared" si="1"/>
        <v>-0.3</v>
      </c>
      <c r="G8" s="9">
        <f t="shared" si="2"/>
        <v>0.6</v>
      </c>
      <c r="H8" s="10">
        <f t="shared" si="3"/>
        <v>-9.9999999999999978E-2</v>
      </c>
    </row>
    <row r="9" spans="2:10" x14ac:dyDescent="0.35">
      <c r="B9" s="2">
        <v>0.8</v>
      </c>
      <c r="D9" s="7">
        <f t="shared" si="0"/>
        <v>-0.8</v>
      </c>
      <c r="E9" s="8">
        <f t="shared" si="1"/>
        <v>-0.5</v>
      </c>
      <c r="G9" s="7">
        <f t="shared" si="2"/>
        <v>0.8</v>
      </c>
      <c r="H9" s="8">
        <f t="shared" si="3"/>
        <v>0.10000000000000009</v>
      </c>
    </row>
    <row r="10" spans="2:10" x14ac:dyDescent="0.35">
      <c r="B10" s="2">
        <v>0.9</v>
      </c>
      <c r="D10" s="7">
        <f t="shared" si="0"/>
        <v>-0.9</v>
      </c>
      <c r="E10" s="8">
        <f t="shared" si="1"/>
        <v>-0.60000000000000009</v>
      </c>
      <c r="G10" s="7">
        <f t="shared" si="2"/>
        <v>0.9</v>
      </c>
      <c r="H10" s="8">
        <f t="shared" si="3"/>
        <v>0.20000000000000007</v>
      </c>
    </row>
    <row r="11" spans="2:10" ht="15" thickBot="1" x14ac:dyDescent="0.4">
      <c r="B11" s="1">
        <v>1</v>
      </c>
      <c r="D11" s="11">
        <f t="shared" si="0"/>
        <v>-1</v>
      </c>
      <c r="E11" s="12">
        <f t="shared" si="1"/>
        <v>-0.7</v>
      </c>
      <c r="G11" s="11">
        <f t="shared" si="2"/>
        <v>1</v>
      </c>
      <c r="H11" s="12">
        <f t="shared" si="3"/>
        <v>0.30000000000000004</v>
      </c>
    </row>
    <row r="13" spans="2:10" ht="15" thickBot="1" x14ac:dyDescent="0.4">
      <c r="B13" t="s">
        <v>1</v>
      </c>
    </row>
    <row r="14" spans="2:10" x14ac:dyDescent="0.35">
      <c r="B14" s="19">
        <f>B3</f>
        <v>0</v>
      </c>
      <c r="C14" s="16">
        <f>(IF(E3&gt;0,1,0))</f>
        <v>1</v>
      </c>
      <c r="D14" s="17">
        <f>(IF(H3&gt;0,1,0))</f>
        <v>0</v>
      </c>
      <c r="G14" s="13"/>
    </row>
    <row r="15" spans="2:10" x14ac:dyDescent="0.35">
      <c r="B15" s="20">
        <f>B4</f>
        <v>0.1</v>
      </c>
      <c r="C15" s="14">
        <f>(IF(E4&gt;0,1,0))</f>
        <v>1</v>
      </c>
      <c r="D15" s="8">
        <f>(IF(H4&gt;0,1,0))</f>
        <v>0</v>
      </c>
      <c r="G15" s="13"/>
    </row>
    <row r="16" spans="2:10" x14ac:dyDescent="0.35">
      <c r="B16" s="20">
        <f>B5</f>
        <v>0.2</v>
      </c>
      <c r="C16" s="14">
        <f>(IF(E5&gt;0,1,0))</f>
        <v>1</v>
      </c>
      <c r="D16" s="8">
        <f>(IF(H5&gt;0,1,0))</f>
        <v>0</v>
      </c>
      <c r="G16" s="13"/>
    </row>
    <row r="17" spans="2:7" x14ac:dyDescent="0.35">
      <c r="B17" s="21">
        <f>B6</f>
        <v>0.4</v>
      </c>
      <c r="C17" s="15">
        <f>(IF(E6&gt;0,1,0))</f>
        <v>0</v>
      </c>
      <c r="D17" s="10">
        <f>(IF(H6&gt;0,1,0))</f>
        <v>0</v>
      </c>
      <c r="G17" s="13"/>
    </row>
    <row r="18" spans="2:7" x14ac:dyDescent="0.35">
      <c r="B18" s="21">
        <f>B7</f>
        <v>0.5</v>
      </c>
      <c r="C18" s="15">
        <f>(IF(E7&gt;0,1,0))</f>
        <v>0</v>
      </c>
      <c r="D18" s="10">
        <f>(IF(H7&gt;0,1,0))</f>
        <v>0</v>
      </c>
      <c r="G18" s="13"/>
    </row>
    <row r="19" spans="2:7" x14ac:dyDescent="0.35">
      <c r="B19" s="21">
        <f>B8</f>
        <v>0.6</v>
      </c>
      <c r="C19" s="15">
        <f>(IF(E8&gt;0,1,0))</f>
        <v>0</v>
      </c>
      <c r="D19" s="10">
        <f>(IF(H8&gt;0,1,0))</f>
        <v>0</v>
      </c>
      <c r="G19" s="13"/>
    </row>
    <row r="20" spans="2:7" x14ac:dyDescent="0.35">
      <c r="B20" s="20">
        <f>B9</f>
        <v>0.8</v>
      </c>
      <c r="C20" s="14">
        <f>(IF(E9&gt;0,1,0))</f>
        <v>0</v>
      </c>
      <c r="D20" s="8">
        <f>(IF(H9&gt;0,1,0))</f>
        <v>1</v>
      </c>
      <c r="G20" s="13"/>
    </row>
    <row r="21" spans="2:7" x14ac:dyDescent="0.35">
      <c r="B21" s="20">
        <f>B10</f>
        <v>0.9</v>
      </c>
      <c r="C21" s="14">
        <f>(IF(E10&gt;0,1,0))</f>
        <v>0</v>
      </c>
      <c r="D21" s="8">
        <f>(IF(H10&gt;0,1,0))</f>
        <v>1</v>
      </c>
      <c r="G21" s="13"/>
    </row>
    <row r="22" spans="2:7" ht="15" thickBot="1" x14ac:dyDescent="0.4">
      <c r="B22" s="22">
        <f>B11</f>
        <v>1</v>
      </c>
      <c r="C22" s="18">
        <f>(IF(E11&gt;0,1,0))</f>
        <v>0</v>
      </c>
      <c r="D22" s="12">
        <f>(IF(H11&gt;0,1,0))</f>
        <v>1</v>
      </c>
      <c r="G22" s="13"/>
    </row>
    <row r="23" spans="2:7" x14ac:dyDescent="0.35">
      <c r="G23" s="4"/>
    </row>
    <row r="24" spans="2:7" x14ac:dyDescent="0.35">
      <c r="G24" s="4"/>
    </row>
    <row r="25" spans="2:7" x14ac:dyDescent="0.35">
      <c r="G25" s="4"/>
    </row>
    <row r="26" spans="2:7" ht="15" thickBot="1" x14ac:dyDescent="0.4">
      <c r="B26" t="s">
        <v>2</v>
      </c>
      <c r="G26" s="4"/>
    </row>
    <row r="27" spans="2:7" x14ac:dyDescent="0.35">
      <c r="B27" s="19">
        <f>B3</f>
        <v>0</v>
      </c>
      <c r="C27" s="16">
        <f>E3</f>
        <v>0.3</v>
      </c>
      <c r="D27" s="17">
        <f>H3</f>
        <v>-0.7</v>
      </c>
      <c r="E27" s="4">
        <v>1</v>
      </c>
    </row>
    <row r="28" spans="2:7" x14ac:dyDescent="0.35">
      <c r="B28" s="20">
        <f>B4</f>
        <v>0.1</v>
      </c>
      <c r="C28" s="14">
        <f>E4</f>
        <v>0.19999999999999998</v>
      </c>
      <c r="D28" s="8">
        <f>H4</f>
        <v>-0.6</v>
      </c>
      <c r="E28">
        <v>1</v>
      </c>
    </row>
    <row r="29" spans="2:7" x14ac:dyDescent="0.35">
      <c r="B29" s="20">
        <f>B5</f>
        <v>0.2</v>
      </c>
      <c r="C29" s="14">
        <f>E5</f>
        <v>9.9999999999999978E-2</v>
      </c>
      <c r="D29" s="8">
        <f>H5</f>
        <v>-0.49999999999999994</v>
      </c>
      <c r="E29">
        <v>1</v>
      </c>
    </row>
    <row r="30" spans="2:7" x14ac:dyDescent="0.35">
      <c r="B30" s="21">
        <f>B6</f>
        <v>0.4</v>
      </c>
      <c r="C30" s="15">
        <f>E6</f>
        <v>-0.10000000000000003</v>
      </c>
      <c r="D30" s="10">
        <f>H6</f>
        <v>-0.29999999999999993</v>
      </c>
      <c r="E30">
        <v>-1</v>
      </c>
    </row>
    <row r="31" spans="2:7" x14ac:dyDescent="0.35">
      <c r="B31" s="21">
        <f>B7</f>
        <v>0.5</v>
      </c>
      <c r="C31" s="15">
        <f>E7</f>
        <v>-0.2</v>
      </c>
      <c r="D31" s="10">
        <f>H7</f>
        <v>-0.19999999999999996</v>
      </c>
      <c r="E31">
        <v>-1</v>
      </c>
    </row>
    <row r="32" spans="2:7" x14ac:dyDescent="0.35">
      <c r="B32" s="21">
        <f>B8</f>
        <v>0.6</v>
      </c>
      <c r="C32" s="15">
        <f>E8</f>
        <v>-0.3</v>
      </c>
      <c r="D32" s="10">
        <f>H8</f>
        <v>-9.9999999999999978E-2</v>
      </c>
      <c r="E32">
        <v>-1</v>
      </c>
    </row>
    <row r="33" spans="2:5" x14ac:dyDescent="0.35">
      <c r="B33" s="20">
        <f>B9</f>
        <v>0.8</v>
      </c>
      <c r="C33" s="14">
        <f>E9</f>
        <v>-0.5</v>
      </c>
      <c r="D33" s="8">
        <f>H9</f>
        <v>0.10000000000000009</v>
      </c>
      <c r="E33">
        <v>1</v>
      </c>
    </row>
    <row r="34" spans="2:5" x14ac:dyDescent="0.35">
      <c r="B34" s="20">
        <f>B10</f>
        <v>0.9</v>
      </c>
      <c r="C34" s="14">
        <f>E10</f>
        <v>-0.60000000000000009</v>
      </c>
      <c r="D34" s="8">
        <f>H10</f>
        <v>0.20000000000000007</v>
      </c>
      <c r="E34">
        <v>1</v>
      </c>
    </row>
    <row r="35" spans="2:5" ht="15" thickBot="1" x14ac:dyDescent="0.4">
      <c r="B35" s="22">
        <f>B11</f>
        <v>1</v>
      </c>
      <c r="C35" s="18">
        <f>E11</f>
        <v>-0.7</v>
      </c>
      <c r="D35" s="12">
        <f>H11</f>
        <v>0.30000000000000004</v>
      </c>
      <c r="E35">
        <v>1</v>
      </c>
    </row>
    <row r="39" spans="2:5" ht="15" thickBot="1" x14ac:dyDescent="0.4">
      <c r="B39" t="s">
        <v>3</v>
      </c>
    </row>
    <row r="40" spans="2:5" x14ac:dyDescent="0.35">
      <c r="B40" s="19">
        <f>B3</f>
        <v>0</v>
      </c>
      <c r="C40" s="16">
        <f>(IF(E3&gt;0,E3,0))</f>
        <v>0.3</v>
      </c>
      <c r="D40" s="17">
        <f>(IF(H3&gt;0,H3,0))</f>
        <v>0</v>
      </c>
    </row>
    <row r="41" spans="2:5" x14ac:dyDescent="0.35">
      <c r="B41" s="20">
        <f>B4</f>
        <v>0.1</v>
      </c>
      <c r="C41" s="14">
        <f>(IF(E4&gt;0,E4,0))</f>
        <v>0.19999999999999998</v>
      </c>
      <c r="D41" s="8">
        <f>(IF(H4&gt;0,H4,0))</f>
        <v>0</v>
      </c>
    </row>
    <row r="42" spans="2:5" x14ac:dyDescent="0.35">
      <c r="B42" s="20">
        <f>B5</f>
        <v>0.2</v>
      </c>
      <c r="C42" s="14">
        <f>(IF(E5&gt;0,E5,0))</f>
        <v>9.9999999999999978E-2</v>
      </c>
      <c r="D42" s="8">
        <f>(IF(H5&gt;0,H5,0))</f>
        <v>0</v>
      </c>
    </row>
    <row r="43" spans="2:5" x14ac:dyDescent="0.35">
      <c r="B43" s="21">
        <f>B6</f>
        <v>0.4</v>
      </c>
      <c r="C43" s="15">
        <f>(IF(E6&gt;0,E6,0))</f>
        <v>0</v>
      </c>
      <c r="D43" s="10">
        <f>(IF(H6&gt;0,H6,0))</f>
        <v>0</v>
      </c>
    </row>
    <row r="44" spans="2:5" x14ac:dyDescent="0.35">
      <c r="B44" s="21">
        <f>B7</f>
        <v>0.5</v>
      </c>
      <c r="C44" s="15">
        <f>(IF(E7&gt;0,E7,0))</f>
        <v>0</v>
      </c>
      <c r="D44" s="10">
        <f>(IF(H7&gt;0,H7,0))</f>
        <v>0</v>
      </c>
    </row>
    <row r="45" spans="2:5" x14ac:dyDescent="0.35">
      <c r="B45" s="21">
        <f>B8</f>
        <v>0.6</v>
      </c>
      <c r="C45" s="15">
        <f>(IF(E8&gt;0,E8,0))</f>
        <v>0</v>
      </c>
      <c r="D45" s="10">
        <f>(IF(H8&gt;0,H8,0))</f>
        <v>0</v>
      </c>
    </row>
    <row r="46" spans="2:5" x14ac:dyDescent="0.35">
      <c r="B46" s="20">
        <f>B9</f>
        <v>0.8</v>
      </c>
      <c r="C46" s="14">
        <f>(IF(E9&gt;0,E9,0))</f>
        <v>0</v>
      </c>
      <c r="D46" s="8">
        <f>(IF(H9&gt;0,H9,0))</f>
        <v>0.10000000000000009</v>
      </c>
    </row>
    <row r="47" spans="2:5" x14ac:dyDescent="0.35">
      <c r="B47" s="20">
        <f>B10</f>
        <v>0.9</v>
      </c>
      <c r="C47" s="14">
        <f>(IF(E10&gt;0,E10,0))</f>
        <v>0</v>
      </c>
      <c r="D47" s="8">
        <f>(IF(H10&gt;0,H10,0))</f>
        <v>0.20000000000000007</v>
      </c>
    </row>
    <row r="48" spans="2:5" ht="15" thickBot="1" x14ac:dyDescent="0.4">
      <c r="B48" s="22">
        <f>B11</f>
        <v>1</v>
      </c>
      <c r="C48" s="18">
        <f>(IF(E11&gt;0,E11,0))</f>
        <v>0</v>
      </c>
      <c r="D48" s="12">
        <f>(IF(H11&gt;0,H11,0))</f>
        <v>0.30000000000000004</v>
      </c>
    </row>
    <row r="52" spans="2:4" ht="15" thickBot="1" x14ac:dyDescent="0.4">
      <c r="B52" t="s">
        <v>4</v>
      </c>
    </row>
    <row r="53" spans="2:4" x14ac:dyDescent="0.35">
      <c r="B53" s="19">
        <f>B3</f>
        <v>0</v>
      </c>
      <c r="C53" s="16">
        <f>LN(1+EXP(E3))</f>
        <v>0.85435524446852718</v>
      </c>
      <c r="D53" s="17">
        <f>LN(1+EXP(H3))</f>
        <v>0.40318604888545784</v>
      </c>
    </row>
    <row r="54" spans="2:4" x14ac:dyDescent="0.35">
      <c r="B54" s="20">
        <f t="shared" ref="B54:B61" si="4">B4</f>
        <v>0.1</v>
      </c>
      <c r="C54" s="14">
        <f t="shared" ref="C54:C61" si="5">LN(1+EXP(E4))</f>
        <v>0.79813886938159173</v>
      </c>
      <c r="D54" s="8">
        <f t="shared" ref="D54:D61" si="6">LN(1+EXP(H4))</f>
        <v>0.43748795048588568</v>
      </c>
    </row>
    <row r="55" spans="2:4" x14ac:dyDescent="0.35">
      <c r="B55" s="20">
        <f t="shared" si="4"/>
        <v>0.2</v>
      </c>
      <c r="C55" s="14">
        <f t="shared" si="5"/>
        <v>0.74439666007357097</v>
      </c>
      <c r="D55" s="8">
        <f t="shared" si="6"/>
        <v>0.47407698418010669</v>
      </c>
    </row>
    <row r="56" spans="2:4" x14ac:dyDescent="0.35">
      <c r="B56" s="21">
        <f t="shared" si="4"/>
        <v>0.4</v>
      </c>
      <c r="C56" s="15">
        <f t="shared" si="5"/>
        <v>0.64439666007357088</v>
      </c>
      <c r="D56" s="10">
        <f t="shared" si="6"/>
        <v>0.55435524446852702</v>
      </c>
    </row>
    <row r="57" spans="2:4" x14ac:dyDescent="0.35">
      <c r="B57" s="21">
        <f t="shared" si="4"/>
        <v>0.5</v>
      </c>
      <c r="C57" s="15">
        <f t="shared" si="5"/>
        <v>0.59813886938159178</v>
      </c>
      <c r="D57" s="10">
        <f t="shared" si="6"/>
        <v>0.59813886938159189</v>
      </c>
    </row>
    <row r="58" spans="2:4" x14ac:dyDescent="0.35">
      <c r="B58" s="21">
        <f t="shared" si="4"/>
        <v>0.6</v>
      </c>
      <c r="C58" s="15">
        <f t="shared" si="5"/>
        <v>0.55435524446852702</v>
      </c>
      <c r="D58" s="10">
        <f t="shared" si="6"/>
        <v>0.64439666007357099</v>
      </c>
    </row>
    <row r="59" spans="2:4" x14ac:dyDescent="0.35">
      <c r="B59" s="20">
        <f t="shared" si="4"/>
        <v>0.8</v>
      </c>
      <c r="C59" s="14">
        <f t="shared" si="5"/>
        <v>0.47407698418010669</v>
      </c>
      <c r="D59" s="8">
        <f t="shared" si="6"/>
        <v>0.74439666007357097</v>
      </c>
    </row>
    <row r="60" spans="2:4" x14ac:dyDescent="0.35">
      <c r="B60" s="20">
        <f t="shared" si="4"/>
        <v>0.9</v>
      </c>
      <c r="C60" s="14">
        <f t="shared" si="5"/>
        <v>0.43748795048588568</v>
      </c>
      <c r="D60" s="8">
        <f t="shared" si="6"/>
        <v>0.79813886938159173</v>
      </c>
    </row>
    <row r="61" spans="2:4" ht="15" thickBot="1" x14ac:dyDescent="0.4">
      <c r="B61" s="22">
        <f t="shared" si="4"/>
        <v>1</v>
      </c>
      <c r="C61" s="18">
        <f t="shared" si="5"/>
        <v>0.40318604888545784</v>
      </c>
      <c r="D61" s="12">
        <f t="shared" si="6"/>
        <v>0.85435524446852718</v>
      </c>
    </row>
    <row r="65" spans="2:4" ht="15" thickBot="1" x14ac:dyDescent="0.4">
      <c r="B65" t="s">
        <v>5</v>
      </c>
    </row>
    <row r="66" spans="2:4" x14ac:dyDescent="0.35">
      <c r="B66" s="19">
        <f>B3</f>
        <v>0</v>
      </c>
      <c r="C66" s="16">
        <f>1/(1+EXP(-E3))</f>
        <v>0.57444251681165903</v>
      </c>
      <c r="D66" s="17">
        <f>1/(1+EXP(-H3))</f>
        <v>0.33181222783183389</v>
      </c>
    </row>
    <row r="67" spans="2:4" x14ac:dyDescent="0.35">
      <c r="B67" s="20">
        <f t="shared" ref="B67:B74" si="7">B4</f>
        <v>0.1</v>
      </c>
      <c r="C67" s="14">
        <f t="shared" ref="C67:C74" si="8">1/(1+EXP(-E4))</f>
        <v>0.54983399731247795</v>
      </c>
      <c r="D67" s="8">
        <f t="shared" ref="D67:D74" si="9">1/(1+EXP(-H4))</f>
        <v>0.35434369377420455</v>
      </c>
    </row>
    <row r="68" spans="2:4" x14ac:dyDescent="0.35">
      <c r="B68" s="20">
        <f t="shared" si="7"/>
        <v>0.2</v>
      </c>
      <c r="C68" s="14">
        <f t="shared" si="8"/>
        <v>0.5249791874789399</v>
      </c>
      <c r="D68" s="8">
        <f t="shared" si="9"/>
        <v>0.37754066879814541</v>
      </c>
    </row>
    <row r="69" spans="2:4" x14ac:dyDescent="0.35">
      <c r="B69" s="21">
        <f t="shared" si="7"/>
        <v>0.4</v>
      </c>
      <c r="C69" s="15">
        <f t="shared" si="8"/>
        <v>0.47502081252105999</v>
      </c>
      <c r="D69" s="10">
        <f t="shared" si="9"/>
        <v>0.42555748318834108</v>
      </c>
    </row>
    <row r="70" spans="2:4" x14ac:dyDescent="0.35">
      <c r="B70" s="21">
        <f t="shared" si="7"/>
        <v>0.5</v>
      </c>
      <c r="C70" s="15">
        <f t="shared" si="8"/>
        <v>0.45016600268752216</v>
      </c>
      <c r="D70" s="10">
        <f t="shared" si="9"/>
        <v>0.45016600268752216</v>
      </c>
    </row>
    <row r="71" spans="2:4" x14ac:dyDescent="0.35">
      <c r="B71" s="21">
        <f t="shared" si="7"/>
        <v>0.6</v>
      </c>
      <c r="C71" s="15">
        <f t="shared" si="8"/>
        <v>0.42555748318834102</v>
      </c>
      <c r="D71" s="10">
        <f t="shared" si="9"/>
        <v>0.47502081252105999</v>
      </c>
    </row>
    <row r="72" spans="2:4" x14ac:dyDescent="0.35">
      <c r="B72" s="20">
        <f t="shared" si="7"/>
        <v>0.8</v>
      </c>
      <c r="C72" s="14">
        <f t="shared" si="8"/>
        <v>0.37754066879814541</v>
      </c>
      <c r="D72" s="8">
        <f t="shared" si="9"/>
        <v>0.52497918747894001</v>
      </c>
    </row>
    <row r="73" spans="2:4" x14ac:dyDescent="0.35">
      <c r="B73" s="20">
        <f t="shared" si="7"/>
        <v>0.9</v>
      </c>
      <c r="C73" s="14">
        <f t="shared" si="8"/>
        <v>0.35434369377420455</v>
      </c>
      <c r="D73" s="8">
        <f t="shared" si="9"/>
        <v>0.54983399731247795</v>
      </c>
    </row>
    <row r="74" spans="2:4" ht="15" thickBot="1" x14ac:dyDescent="0.4">
      <c r="B74" s="22">
        <f t="shared" si="7"/>
        <v>1</v>
      </c>
      <c r="C74" s="18">
        <f t="shared" si="8"/>
        <v>0.33181222783183389</v>
      </c>
      <c r="D74" s="12">
        <f t="shared" si="9"/>
        <v>0.57444251681165903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Pesos del video</vt:lpstr>
      <vt:lpstr>Pesos que yo encontre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Espino Montelongo</dc:creator>
  <cp:lastModifiedBy>Heriberto Espino Montelongo</cp:lastModifiedBy>
  <dcterms:created xsi:type="dcterms:W3CDTF">2025-10-29T19:02:57Z</dcterms:created>
  <dcterms:modified xsi:type="dcterms:W3CDTF">2025-10-29T23:23:12Z</dcterms:modified>
</cp:coreProperties>
</file>