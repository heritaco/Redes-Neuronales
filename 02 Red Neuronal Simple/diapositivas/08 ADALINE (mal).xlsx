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liveudlap-my.sharepoint.com/personal/heriberto_espinomo_udlap_mx/Documents/"/>
    </mc:Choice>
  </mc:AlternateContent>
  <xr:revisionPtr revIDLastSave="4" documentId="8_{8A4AC083-8A47-4805-A715-9C369553563A}" xr6:coauthVersionLast="47" xr6:coauthVersionMax="47" xr10:uidLastSave="{765E90F7-9F65-4806-8C88-BA32E71B8C8B}"/>
  <bookViews>
    <workbookView xWindow="-105" yWindow="0" windowWidth="14610" windowHeight="16305" xr2:uid="{469F09AD-26BE-4A77-8B56-12419D0C0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" l="1" a="1"/>
  <c r="C21" i="1" s="1"/>
  <c r="D24" i="1" s="1"/>
  <c r="C28" i="1" s="1"/>
  <c r="D23" i="1" l="1"/>
  <c r="D25" i="1"/>
  <c r="C32" i="1" s="1" a="1"/>
  <c r="C32" i="1" s="1"/>
  <c r="D34" i="1" s="1"/>
  <c r="D35" i="1" l="1"/>
  <c r="D36" i="1"/>
  <c r="C27" i="1"/>
  <c r="C30" i="1" s="1"/>
  <c r="F34" i="1" a="1"/>
  <c r="F34" i="1" s="1"/>
  <c r="C39" i="1"/>
  <c r="C43" i="1" a="1"/>
  <c r="C43" i="1" s="1"/>
  <c r="D46" i="1" s="1"/>
  <c r="C50" i="1" s="1"/>
  <c r="C38" i="1"/>
  <c r="C41" i="1" l="1"/>
  <c r="D45" i="1"/>
  <c r="C49" i="1" s="1"/>
  <c r="C52" i="1" s="1"/>
  <c r="D4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<sst xmlns="http://schemas.openxmlformats.org/spreadsheetml/2006/main" count="35" uniqueCount="21">
  <si>
    <t>s1</t>
  </si>
  <si>
    <t>s2</t>
  </si>
  <si>
    <t>T</t>
  </si>
  <si>
    <t>W1</t>
  </si>
  <si>
    <t>w1</t>
  </si>
  <si>
    <t>w2</t>
  </si>
  <si>
    <t>b</t>
  </si>
  <si>
    <t>alpha</t>
  </si>
  <si>
    <t xml:space="preserve">w(new) = </t>
  </si>
  <si>
    <t>w(old) + a(t - y)x</t>
  </si>
  <si>
    <t xml:space="preserve">b(new) = </t>
  </si>
  <si>
    <t>b(old) + a(t - y)</t>
  </si>
  <si>
    <t>y in =</t>
  </si>
  <si>
    <t>b + w1x1 + w2x2</t>
  </si>
  <si>
    <t xml:space="preserve">y 11 = </t>
  </si>
  <si>
    <t>w11 =</t>
  </si>
  <si>
    <t>w12 =</t>
  </si>
  <si>
    <t>b1 =</t>
  </si>
  <si>
    <t>delta W</t>
  </si>
  <si>
    <t>MAX</t>
  </si>
  <si>
    <t>W0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</si>
</sst>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CD89-9401-4DD9-8EB7-0496A13DB491}">
  <dimension ref="B2:F52"/>
  <sheetViews>
    <sheetView tabSelected="1" topLeftCell="B1" workbookViewId="0">
      <selection activeCell="H3" sqref="H3:N19"/>
    </sheetView>
  </sheetViews>
  <sheetFormatPr defaultRowHeight="15" x14ac:dyDescent="0.25"/>
  <cols>
    <col min="2" max="2" width="10.42578125" bestFit="1" customWidth="1"/>
  </cols>
  <sheetData>
    <row r="2" spans="2:4" x14ac:dyDescent="0.25">
      <c r="B2" s="1" t="s">
        <v>0</v>
      </c>
      <c r="C2" s="1" t="s">
        <v>1</v>
      </c>
      <c r="D2" s="2" t="s">
        <v>2</v>
      </c>
    </row>
    <row r="3" spans="2:4" x14ac:dyDescent="0.25">
      <c r="B3">
        <v>1</v>
      </c>
      <c r="C3">
        <v>1</v>
      </c>
      <c r="D3" s="3">
        <v>1</v>
      </c>
    </row>
    <row r="4" spans="2:4" x14ac:dyDescent="0.25">
      <c r="B4">
        <v>1</v>
      </c>
      <c r="C4">
        <v>-1</v>
      </c>
      <c r="D4" s="3">
        <v>-1</v>
      </c>
    </row>
    <row r="5" spans="2:4" x14ac:dyDescent="0.25">
      <c r="B5">
        <v>-1</v>
      </c>
      <c r="C5">
        <v>1</v>
      </c>
      <c r="D5" s="3">
        <v>-1</v>
      </c>
    </row>
    <row r="6" spans="2:4" x14ac:dyDescent="0.25">
      <c r="B6">
        <v>-1</v>
      </c>
      <c r="C6">
        <v>-1</v>
      </c>
      <c r="D6" s="3">
        <v>-1</v>
      </c>
    </row>
    <row r="9" spans="2:4" x14ac:dyDescent="0.25">
      <c r="B9" t="s">
        <v>20</v>
      </c>
      <c r="C9" t="s">
        <v>4</v>
      </c>
      <c r="D9">
        <v>0.2</v>
      </c>
    </row>
    <row r="10" spans="2:4" x14ac:dyDescent="0.25">
      <c r="C10" t="s">
        <v>5</v>
      </c>
      <c r="D10">
        <v>0.1</v>
      </c>
    </row>
    <row r="11" spans="2:4" x14ac:dyDescent="0.25">
      <c r="C11" t="s">
        <v>6</v>
      </c>
      <c r="D11">
        <v>0</v>
      </c>
    </row>
    <row r="13" spans="2:4" x14ac:dyDescent="0.25">
      <c r="C13" t="s">
        <v>7</v>
      </c>
      <c r="D13">
        <v>0.5</v>
      </c>
    </row>
    <row r="16" spans="2:4" x14ac:dyDescent="0.25">
      <c r="B16" s="14" t="s">
        <v>8</v>
      </c>
      <c r="C16" s="14" t="s">
        <v>9</v>
      </c>
      <c r="D16" s="14"/>
    </row>
    <row r="17" spans="2:4" x14ac:dyDescent="0.25">
      <c r="B17" s="14" t="s">
        <v>10</v>
      </c>
      <c r="C17" s="14" t="s">
        <v>11</v>
      </c>
      <c r="D17" s="14"/>
    </row>
    <row r="18" spans="2:4" x14ac:dyDescent="0.25">
      <c r="B18" s="14"/>
      <c r="C18" s="14"/>
      <c r="D18" s="14"/>
    </row>
    <row r="19" spans="2:4" x14ac:dyDescent="0.25">
      <c r="B19" s="14" t="s">
        <v>12</v>
      </c>
      <c r="C19" s="14" t="s">
        <v>13</v>
      </c>
      <c r="D19" s="14"/>
    </row>
    <row r="20" spans="2:4" ht="15.75" thickBot="1" x14ac:dyDescent="0.3"/>
    <row r="21" spans="2:4" x14ac:dyDescent="0.25">
      <c r="B21" s="12" t="s">
        <v>14</v>
      </c>
      <c r="C21" s="4" cm="1">
        <f t="array" ref="C21">D11+SUMPRODUCT(B3:C3,TRANSPOSE(D9:D10))</f>
        <v>0.30000000000000004</v>
      </c>
      <c r="D21" s="5"/>
    </row>
    <row r="22" spans="2:4" x14ac:dyDescent="0.25">
      <c r="B22" s="6"/>
      <c r="C22" s="7"/>
      <c r="D22" s="8"/>
    </row>
    <row r="23" spans="2:4" x14ac:dyDescent="0.25">
      <c r="B23" s="6" t="s">
        <v>3</v>
      </c>
      <c r="C23" s="13" t="s">
        <v>15</v>
      </c>
      <c r="D23" s="8">
        <f>D9+D13*(D3-C21)*B3</f>
        <v>0.55000000000000004</v>
      </c>
    </row>
    <row r="24" spans="2:4" x14ac:dyDescent="0.25">
      <c r="B24" s="6"/>
      <c r="C24" s="13" t="s">
        <v>16</v>
      </c>
      <c r="D24" s="8">
        <f>D10+D13*(D3-C21)*C3</f>
        <v>0.44999999999999996</v>
      </c>
    </row>
    <row r="25" spans="2:4" x14ac:dyDescent="0.25">
      <c r="B25" s="6"/>
      <c r="C25" s="13" t="s">
        <v>17</v>
      </c>
      <c r="D25" s="8">
        <f>D11+D13*(D3-C21)</f>
        <v>0.35</v>
      </c>
    </row>
    <row r="26" spans="2:4" x14ac:dyDescent="0.25">
      <c r="B26" s="6"/>
      <c r="C26" s="7"/>
      <c r="D26" s="8"/>
    </row>
    <row r="27" spans="2:4" x14ac:dyDescent="0.25">
      <c r="B27" s="6" t="s">
        <v>18</v>
      </c>
      <c r="C27" s="7">
        <f>D23-D9</f>
        <v>0.35000000000000003</v>
      </c>
      <c r="D27" s="8"/>
    </row>
    <row r="28" spans="2:4" x14ac:dyDescent="0.25">
      <c r="B28" s="6"/>
      <c r="C28" s="7">
        <f>D24-D10</f>
        <v>0.35</v>
      </c>
      <c r="D28" s="8"/>
    </row>
    <row r="29" spans="2:4" x14ac:dyDescent="0.25">
      <c r="B29" s="6"/>
      <c r="C29" s="7"/>
      <c r="D29" s="8"/>
    </row>
    <row r="30" spans="2:4" ht="15.75" thickBot="1" x14ac:dyDescent="0.3">
      <c r="B30" s="9" t="s">
        <v>19</v>
      </c>
      <c r="C30" s="10">
        <f>MAX(C27:C28)</f>
        <v>0.35000000000000003</v>
      </c>
      <c r="D30" s="11"/>
    </row>
    <row r="31" spans="2:4" ht="15.75" thickBot="1" x14ac:dyDescent="0.3"/>
    <row r="32" spans="2:4" x14ac:dyDescent="0.25">
      <c r="B32" s="12" t="s">
        <v>14</v>
      </c>
      <c r="C32" s="4" cm="1">
        <f t="array" ref="C32">D25+SUMPRODUCT(B4:C4,TRANSPOSE(D23:D24))</f>
        <v>0.45000000000000007</v>
      </c>
      <c r="D32" s="5"/>
    </row>
    <row r="33" spans="2:6" x14ac:dyDescent="0.25">
      <c r="B33" s="6"/>
      <c r="C33" s="7"/>
      <c r="D33" s="8"/>
    </row>
    <row r="34" spans="2:6" x14ac:dyDescent="0.25">
      <c r="B34" s="6" t="s">
        <v>3</v>
      </c>
      <c r="C34" s="13" t="s">
        <v>15</v>
      </c>
      <c r="D34" s="8">
        <f>D23+D13*(D4-C32)*B4</f>
        <v>-0.17500000000000004</v>
      </c>
      <c r="F34" cm="1">
        <f t="array" ref="F34:F35">D23:D24+D13*(D4-TRANSPOSE(B4:C4))</f>
        <v>-0.44999999999999996</v>
      </c>
    </row>
    <row r="35" spans="2:6" x14ac:dyDescent="0.25">
      <c r="B35" s="6"/>
      <c r="C35" s="13" t="s">
        <v>16</v>
      </c>
      <c r="D35" s="8">
        <f>D24+D13*(D4-C32)*C4</f>
        <v>1.175</v>
      </c>
      <c r="F35">
        <v>0.44999999999999996</v>
      </c>
    </row>
    <row r="36" spans="2:6" x14ac:dyDescent="0.25">
      <c r="B36" s="6"/>
      <c r="C36" s="13" t="s">
        <v>17</v>
      </c>
      <c r="D36" s="8">
        <f>D25+D13*(D4-C32)</f>
        <v>-0.37500000000000011</v>
      </c>
    </row>
    <row r="37" spans="2:6" x14ac:dyDescent="0.25">
      <c r="B37" s="6"/>
      <c r="C37" s="7"/>
      <c r="D37" s="8"/>
    </row>
    <row r="38" spans="2:6" x14ac:dyDescent="0.25">
      <c r="B38" s="6" t="s">
        <v>18</v>
      </c>
      <c r="C38" s="7">
        <f>D34-D23</f>
        <v>-0.72500000000000009</v>
      </c>
      <c r="D38" s="8"/>
    </row>
    <row r="39" spans="2:6" x14ac:dyDescent="0.25">
      <c r="B39" s="6"/>
      <c r="C39" s="7">
        <f>D35-D24</f>
        <v>0.72500000000000009</v>
      </c>
      <c r="D39" s="8"/>
    </row>
    <row r="40" spans="2:6" x14ac:dyDescent="0.25">
      <c r="B40" s="6"/>
      <c r="C40" s="7"/>
      <c r="D40" s="8"/>
    </row>
    <row r="41" spans="2:6" ht="15.75" thickBot="1" x14ac:dyDescent="0.3">
      <c r="B41" s="9" t="s">
        <v>19</v>
      </c>
      <c r="C41" s="10">
        <f>MAX(C38:C39)</f>
        <v>0.72500000000000009</v>
      </c>
      <c r="D41" s="11"/>
    </row>
    <row r="42" spans="2:6" ht="15.75" thickBot="1" x14ac:dyDescent="0.3"/>
    <row r="43" spans="2:6" x14ac:dyDescent="0.25">
      <c r="B43" s="12" t="s">
        <v>14</v>
      </c>
      <c r="C43" s="4" cm="1">
        <f t="array" ref="C43">D36+SUMPRODUCT(B5:C5,TRANSPOSE(D34:D35))</f>
        <v>0.97499999999999998</v>
      </c>
      <c r="D43" s="5"/>
    </row>
    <row r="44" spans="2:6" x14ac:dyDescent="0.25">
      <c r="B44" s="6"/>
      <c r="C44" s="7"/>
      <c r="D44" s="8"/>
    </row>
    <row r="45" spans="2:6" x14ac:dyDescent="0.25">
      <c r="B45" s="6" t="s">
        <v>3</v>
      </c>
      <c r="C45" s="13" t="s">
        <v>15</v>
      </c>
      <c r="D45" s="8">
        <f>D34+D23*(D5-C43)*B5</f>
        <v>0.91125000000000012</v>
      </c>
    </row>
    <row r="46" spans="2:6" x14ac:dyDescent="0.25">
      <c r="B46" s="6"/>
      <c r="C46" s="13" t="s">
        <v>16</v>
      </c>
      <c r="D46" s="8">
        <f>D35+D23*(D5-C43)*C5</f>
        <v>8.8749999999999885E-2</v>
      </c>
    </row>
    <row r="47" spans="2:6" x14ac:dyDescent="0.25">
      <c r="B47" s="6"/>
      <c r="C47" s="13" t="s">
        <v>17</v>
      </c>
      <c r="D47" s="8">
        <f>D36+D13*(D5-C43)</f>
        <v>-1.3625000000000003</v>
      </c>
    </row>
    <row r="48" spans="2:6" x14ac:dyDescent="0.25">
      <c r="B48" s="6"/>
      <c r="C48" s="7"/>
      <c r="D48" s="8"/>
    </row>
    <row r="49" spans="2:4" x14ac:dyDescent="0.25">
      <c r="B49" s="6" t="s">
        <v>18</v>
      </c>
      <c r="C49" s="7">
        <f>D45-D34</f>
        <v>1.0862500000000002</v>
      </c>
      <c r="D49" s="8"/>
    </row>
    <row r="50" spans="2:4" x14ac:dyDescent="0.25">
      <c r="B50" s="6"/>
      <c r="C50" s="7">
        <f>D46-D35</f>
        <v>-1.0862500000000002</v>
      </c>
      <c r="D50" s="8"/>
    </row>
    <row r="51" spans="2:4" x14ac:dyDescent="0.25">
      <c r="B51" s="6"/>
      <c r="C51" s="7"/>
      <c r="D51" s="8"/>
    </row>
    <row r="52" spans="2:4" ht="15.75" thickBot="1" x14ac:dyDescent="0.3">
      <c r="B52" s="9" t="s">
        <v>19</v>
      </c>
      <c r="C52" s="10">
        <f>MAX(C49:C50)</f>
        <v>1.0862500000000002</v>
      </c>
      <c r="D52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Heriberto Espino Montelongo</dc:creator>
  <cp:lastModifiedBy>Heriberto Espino Montelongo</cp:lastModifiedBy>
  <dcterms:created xsi:type="dcterms:W3CDTF">2025-09-02T23:17:53Z</dcterms:created>
  <dcterms:modified xsi:type="dcterms:W3CDTF">2025-09-02T23:48:12Z</dcterms:modified>
</cp:coreProperties>
</file>